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8" i="1"/>
  <c r="I7" i="1"/>
  <c r="I6" i="1"/>
</calcChain>
</file>

<file path=xl/sharedStrings.xml><?xml version="1.0" encoding="utf-8"?>
<sst xmlns="http://schemas.openxmlformats.org/spreadsheetml/2006/main" count="85" uniqueCount="38">
  <si>
    <t>Account No</t>
  </si>
  <si>
    <t>Amount</t>
  </si>
  <si>
    <t>Acc Type</t>
  </si>
  <si>
    <t>Branch</t>
  </si>
  <si>
    <t>Customer</t>
  </si>
  <si>
    <t>Savings</t>
  </si>
  <si>
    <t>Patna</t>
  </si>
  <si>
    <t>Amit Kumar</t>
  </si>
  <si>
    <t>Current</t>
  </si>
  <si>
    <t>Delhi</t>
  </si>
  <si>
    <t>Rahul Singh</t>
  </si>
  <si>
    <t>Mumbai</t>
  </si>
  <si>
    <t>Priya Sharma</t>
  </si>
  <si>
    <t>Kolkata</t>
  </si>
  <si>
    <t>Neha Verma</t>
  </si>
  <si>
    <t>Rohit Yadav</t>
  </si>
  <si>
    <t>Bangalore</t>
  </si>
  <si>
    <t>Pooja Gupta</t>
  </si>
  <si>
    <t>Ankit Mishra</t>
  </si>
  <si>
    <t>Suman Patel</t>
  </si>
  <si>
    <t>Vikas Kumar</t>
  </si>
  <si>
    <t>Rani Kumari</t>
  </si>
  <si>
    <t>Deepak Singh</t>
  </si>
  <si>
    <t>Kavita Das</t>
  </si>
  <si>
    <t>Manoj Kumar</t>
  </si>
  <si>
    <t>Sunita Devi</t>
  </si>
  <si>
    <t>Arjun Rai</t>
  </si>
  <si>
    <t>Rekha Sharma</t>
  </si>
  <si>
    <t>Nitin Kumar</t>
  </si>
  <si>
    <t>Alok Verma</t>
  </si>
  <si>
    <t>Meena Kumari</t>
  </si>
  <si>
    <t>Sanjay Yadav</t>
  </si>
  <si>
    <t>Kiran Patel</t>
  </si>
  <si>
    <t>Rakesh Gupta</t>
  </si>
  <si>
    <t>Shalini Singh</t>
  </si>
  <si>
    <t>Mukesh Kumar</t>
  </si>
  <si>
    <t>Priti Sinha</t>
  </si>
  <si>
    <t>ACC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</si>
</sst>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zoomScale="101" workbookViewId="0">
      <selection activeCell="H14" sqref="H14"/>
    </sheetView>
  </sheetViews>
  <sheetFormatPr defaultRowHeight="14.4" x14ac:dyDescent="0.3"/>
  <cols>
    <col min="1" max="1" width="13.33203125" bestFit="1" customWidth="1"/>
    <col min="2" max="2" width="9.5546875" bestFit="1" customWidth="1"/>
    <col min="3" max="3" width="10.44140625" bestFit="1" customWidth="1"/>
    <col min="4" max="4" width="9.21875" bestFit="1" customWidth="1"/>
    <col min="5" max="5" width="13.109375" bestFit="1" customWidth="1"/>
    <col min="8" max="8" width="11.77734375" bestFit="1" customWidth="1"/>
    <col min="9" max="9" width="11.5546875" bestFit="1" customWidth="1"/>
  </cols>
  <sheetData>
    <row r="1" spans="1:9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9" x14ac:dyDescent="0.3">
      <c r="A2" s="1">
        <v>100001</v>
      </c>
      <c r="B2" s="1">
        <v>25000</v>
      </c>
      <c r="C2" s="1" t="s">
        <v>5</v>
      </c>
      <c r="D2" s="1" t="s">
        <v>6</v>
      </c>
      <c r="E2" s="1" t="s">
        <v>7</v>
      </c>
    </row>
    <row r="3" spans="1:9" x14ac:dyDescent="0.3">
      <c r="A3" s="1">
        <v>100002</v>
      </c>
      <c r="B3" s="1">
        <v>45000</v>
      </c>
      <c r="C3" s="1" t="s">
        <v>8</v>
      </c>
      <c r="D3" s="1" t="s">
        <v>9</v>
      </c>
      <c r="E3" s="1" t="s">
        <v>10</v>
      </c>
    </row>
    <row r="4" spans="1:9" x14ac:dyDescent="0.3">
      <c r="A4" s="1">
        <v>100003</v>
      </c>
      <c r="B4" s="1">
        <v>12000</v>
      </c>
      <c r="C4" s="1" t="s">
        <v>5</v>
      </c>
      <c r="D4" s="1" t="s">
        <v>11</v>
      </c>
      <c r="E4" s="1" t="s">
        <v>12</v>
      </c>
    </row>
    <row r="5" spans="1:9" ht="15.6" x14ac:dyDescent="0.3">
      <c r="A5" s="1">
        <v>100004</v>
      </c>
      <c r="B5" s="1">
        <v>78000</v>
      </c>
      <c r="C5" s="1" t="s">
        <v>8</v>
      </c>
      <c r="D5" s="1" t="s">
        <v>13</v>
      </c>
      <c r="E5" s="1" t="s">
        <v>14</v>
      </c>
      <c r="H5" s="2" t="s">
        <v>0</v>
      </c>
      <c r="I5" s="1">
        <v>100009</v>
      </c>
    </row>
    <row r="6" spans="1:9" ht="15.6" x14ac:dyDescent="0.3">
      <c r="A6" s="1">
        <v>100005</v>
      </c>
      <c r="B6" s="1">
        <v>34000</v>
      </c>
      <c r="C6" s="1" t="s">
        <v>5</v>
      </c>
      <c r="D6" s="1" t="s">
        <v>6</v>
      </c>
      <c r="E6" s="1" t="s">
        <v>15</v>
      </c>
      <c r="H6" s="2" t="s">
        <v>1</v>
      </c>
      <c r="I6" s="1">
        <f>VLOOKUP(I5,$A$2:$E$26,2,FALSE)</f>
        <v>27000</v>
      </c>
    </row>
    <row r="7" spans="1:9" ht="15.6" x14ac:dyDescent="0.3">
      <c r="A7" s="1">
        <v>100006</v>
      </c>
      <c r="B7" s="1">
        <v>56000</v>
      </c>
      <c r="C7" s="1" t="s">
        <v>8</v>
      </c>
      <c r="D7" s="1" t="s">
        <v>16</v>
      </c>
      <c r="E7" s="1" t="s">
        <v>17</v>
      </c>
      <c r="H7" s="2" t="s">
        <v>37</v>
      </c>
      <c r="I7" s="1" t="str">
        <f>VLOOKUP($A2,Sheet1!$A$2:$E$26,3,FALSE)</f>
        <v>Savings</v>
      </c>
    </row>
    <row r="8" spans="1:9" ht="15.6" x14ac:dyDescent="0.3">
      <c r="A8" s="1">
        <v>100007</v>
      </c>
      <c r="B8" s="1">
        <v>15000</v>
      </c>
      <c r="C8" s="1" t="s">
        <v>5</v>
      </c>
      <c r="D8" s="1" t="s">
        <v>9</v>
      </c>
      <c r="E8" s="1" t="s">
        <v>18</v>
      </c>
      <c r="H8" s="2" t="s">
        <v>3</v>
      </c>
      <c r="I8" s="1" t="str">
        <f>VLOOKUP(I5,Sheet1!$A$2:$E$26,4,FALSE)</f>
        <v>Patna</v>
      </c>
    </row>
    <row r="9" spans="1:9" ht="15.6" x14ac:dyDescent="0.3">
      <c r="A9" s="1">
        <v>100008</v>
      </c>
      <c r="B9" s="1">
        <v>92000</v>
      </c>
      <c r="C9" s="1" t="s">
        <v>8</v>
      </c>
      <c r="D9" s="1" t="s">
        <v>11</v>
      </c>
      <c r="E9" s="1" t="s">
        <v>19</v>
      </c>
      <c r="H9" s="2" t="s">
        <v>4</v>
      </c>
      <c r="I9" s="1" t="str">
        <f>VLOOKUP(I5,Sheet1!$A$2:$E$26,5,FALSE)</f>
        <v>Vikas Kumar</v>
      </c>
    </row>
    <row r="10" spans="1:9" x14ac:dyDescent="0.3">
      <c r="A10" s="1">
        <v>100009</v>
      </c>
      <c r="B10" s="1">
        <v>27000</v>
      </c>
      <c r="C10" s="1" t="s">
        <v>5</v>
      </c>
      <c r="D10" s="1" t="s">
        <v>6</v>
      </c>
      <c r="E10" s="1" t="s">
        <v>20</v>
      </c>
      <c r="H10" s="1"/>
      <c r="I10" s="1"/>
    </row>
    <row r="11" spans="1:9" x14ac:dyDescent="0.3">
      <c r="A11" s="1">
        <v>100010</v>
      </c>
      <c r="B11" s="1">
        <v>31000</v>
      </c>
      <c r="C11" s="1" t="s">
        <v>5</v>
      </c>
      <c r="D11" s="1" t="s">
        <v>13</v>
      </c>
      <c r="E11" s="1" t="s">
        <v>21</v>
      </c>
    </row>
    <row r="12" spans="1:9" x14ac:dyDescent="0.3">
      <c r="A12" s="1">
        <v>100011</v>
      </c>
      <c r="B12" s="1">
        <v>68000</v>
      </c>
      <c r="C12" s="1" t="s">
        <v>8</v>
      </c>
      <c r="D12" s="1" t="s">
        <v>16</v>
      </c>
      <c r="E12" s="1" t="s">
        <v>22</v>
      </c>
    </row>
    <row r="13" spans="1:9" x14ac:dyDescent="0.3">
      <c r="A13" s="1">
        <v>100012</v>
      </c>
      <c r="B13" s="1">
        <v>14000</v>
      </c>
      <c r="C13" s="1" t="s">
        <v>5</v>
      </c>
      <c r="D13" s="1" t="s">
        <v>9</v>
      </c>
      <c r="E13" s="1" t="s">
        <v>23</v>
      </c>
    </row>
    <row r="14" spans="1:9" x14ac:dyDescent="0.3">
      <c r="A14" s="1">
        <v>100013</v>
      </c>
      <c r="B14" s="1">
        <v>52000</v>
      </c>
      <c r="C14" s="1" t="s">
        <v>8</v>
      </c>
      <c r="D14" s="1" t="s">
        <v>11</v>
      </c>
      <c r="E14" s="1" t="s">
        <v>24</v>
      </c>
    </row>
    <row r="15" spans="1:9" x14ac:dyDescent="0.3">
      <c r="A15" s="1">
        <v>100014</v>
      </c>
      <c r="B15" s="1">
        <v>23000</v>
      </c>
      <c r="C15" s="1" t="s">
        <v>5</v>
      </c>
      <c r="D15" s="1" t="s">
        <v>6</v>
      </c>
      <c r="E15" s="1" t="s">
        <v>25</v>
      </c>
    </row>
    <row r="16" spans="1:9" x14ac:dyDescent="0.3">
      <c r="A16" s="1">
        <v>100015</v>
      </c>
      <c r="B16" s="1">
        <v>88000</v>
      </c>
      <c r="C16" s="1" t="s">
        <v>8</v>
      </c>
      <c r="D16" s="1" t="s">
        <v>13</v>
      </c>
      <c r="E16" s="1" t="s">
        <v>26</v>
      </c>
    </row>
    <row r="17" spans="1:5" x14ac:dyDescent="0.3">
      <c r="A17" s="1">
        <v>100016</v>
      </c>
      <c r="B17" s="1">
        <v>19000</v>
      </c>
      <c r="C17" s="1" t="s">
        <v>5</v>
      </c>
      <c r="D17" s="1" t="s">
        <v>16</v>
      </c>
      <c r="E17" s="1" t="s">
        <v>27</v>
      </c>
    </row>
    <row r="18" spans="1:5" x14ac:dyDescent="0.3">
      <c r="A18" s="1">
        <v>100017</v>
      </c>
      <c r="B18" s="1">
        <v>46000</v>
      </c>
      <c r="C18" s="1" t="s">
        <v>8</v>
      </c>
      <c r="D18" s="1" t="s">
        <v>9</v>
      </c>
      <c r="E18" s="1" t="s">
        <v>28</v>
      </c>
    </row>
    <row r="19" spans="1:5" x14ac:dyDescent="0.3">
      <c r="A19" s="1">
        <v>100018</v>
      </c>
      <c r="B19" s="1">
        <v>33000</v>
      </c>
      <c r="C19" s="1" t="s">
        <v>5</v>
      </c>
      <c r="D19" s="1" t="s">
        <v>11</v>
      </c>
      <c r="E19" s="1" t="s">
        <v>29</v>
      </c>
    </row>
    <row r="20" spans="1:5" x14ac:dyDescent="0.3">
      <c r="A20" s="1">
        <v>100019</v>
      </c>
      <c r="B20" s="1">
        <v>72000</v>
      </c>
      <c r="C20" s="1" t="s">
        <v>8</v>
      </c>
      <c r="D20" s="1" t="s">
        <v>6</v>
      </c>
      <c r="E20" s="1" t="s">
        <v>30</v>
      </c>
    </row>
    <row r="21" spans="1:5" x14ac:dyDescent="0.3">
      <c r="A21" s="1">
        <v>100020</v>
      </c>
      <c r="B21" s="1">
        <v>26000</v>
      </c>
      <c r="C21" s="1" t="s">
        <v>5</v>
      </c>
      <c r="D21" s="1" t="s">
        <v>13</v>
      </c>
      <c r="E21" s="1" t="s">
        <v>31</v>
      </c>
    </row>
    <row r="22" spans="1:5" x14ac:dyDescent="0.3">
      <c r="A22" s="1">
        <v>100021</v>
      </c>
      <c r="B22" s="1">
        <v>59000</v>
      </c>
      <c r="C22" s="1" t="s">
        <v>8</v>
      </c>
      <c r="D22" s="1" t="s">
        <v>16</v>
      </c>
      <c r="E22" s="1" t="s">
        <v>32</v>
      </c>
    </row>
    <row r="23" spans="1:5" x14ac:dyDescent="0.3">
      <c r="A23" s="1">
        <v>100022</v>
      </c>
      <c r="B23" s="1">
        <v>17000</v>
      </c>
      <c r="C23" s="1" t="s">
        <v>5</v>
      </c>
      <c r="D23" s="1" t="s">
        <v>9</v>
      </c>
      <c r="E23" s="1" t="s">
        <v>33</v>
      </c>
    </row>
    <row r="24" spans="1:5" x14ac:dyDescent="0.3">
      <c r="A24" s="1">
        <v>100023</v>
      </c>
      <c r="B24" s="1">
        <v>81000</v>
      </c>
      <c r="C24" s="1" t="s">
        <v>8</v>
      </c>
      <c r="D24" s="1" t="s">
        <v>11</v>
      </c>
      <c r="E24" s="1" t="s">
        <v>34</v>
      </c>
    </row>
    <row r="25" spans="1:5" x14ac:dyDescent="0.3">
      <c r="A25" s="1">
        <v>100024</v>
      </c>
      <c r="B25" s="1">
        <v>29000</v>
      </c>
      <c r="C25" s="1" t="s">
        <v>5</v>
      </c>
      <c r="D25" s="1" t="s">
        <v>6</v>
      </c>
      <c r="E25" s="1" t="s">
        <v>35</v>
      </c>
    </row>
    <row r="26" spans="1:5" x14ac:dyDescent="0.3">
      <c r="A26" s="1">
        <v>100025</v>
      </c>
      <c r="B26" s="1">
        <v>64000</v>
      </c>
      <c r="C26" s="1" t="s">
        <v>8</v>
      </c>
      <c r="D26" s="1" t="s">
        <v>13</v>
      </c>
      <c r="E26" s="1" t="s">
        <v>36</v>
      </c>
    </row>
  </sheetData>
  <dataValidations count="1">
    <dataValidation type="list" allowBlank="1" showInputMessage="1" showErrorMessage="1" sqref="I5">
      <formula1>$A$2:$A$26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2026-02-21T18:01:09Z</dcterms:created>
  <dcterms:modified xsi:type="dcterms:W3CDTF">2026-02-21T18:14:41Z</dcterms:modified>
</cp:coreProperties>
</file>