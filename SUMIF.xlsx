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Employee_Data" sheetId="1" r:id="rId1"/>
    <sheet name="Formula_Practice" sheetId="2" r:id="rId2"/>
  </sheets>
  <calcPr calcId="162913"/>
</workbook>
</file>

<file path=xl/calcChain.xml><?xml version="1.0" encoding="utf-8"?>
<calcChain xmlns="http://schemas.openxmlformats.org/spreadsheetml/2006/main">
  <c r="G4" i="1" l="1"/>
  <c r="G5" i="1"/>
  <c r="G3" i="1"/>
  <c r="B11" i="2"/>
  <c r="B9" i="2"/>
  <c r="B7" i="2"/>
  <c r="B5" i="2"/>
</calcChain>
</file>

<file path=xl/sharedStrings.xml><?xml version="1.0" encoding="utf-8"?>
<sst xmlns="http://schemas.openxmlformats.org/spreadsheetml/2006/main" count="74" uniqueCount="43">
  <si>
    <t>Employee Code</t>
  </si>
  <si>
    <t>Designation</t>
  </si>
  <si>
    <t>Salary</t>
  </si>
  <si>
    <t>E001</t>
  </si>
  <si>
    <t>Manager</t>
  </si>
  <si>
    <t>E002</t>
  </si>
  <si>
    <t>Analyst</t>
  </si>
  <si>
    <t>E003</t>
  </si>
  <si>
    <t>Executive</t>
  </si>
  <si>
    <t>E004</t>
  </si>
  <si>
    <t>E005</t>
  </si>
  <si>
    <t>E006</t>
  </si>
  <si>
    <t>E007</t>
  </si>
  <si>
    <t>HR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</si>
  <si>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</si>
  <si>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</si>
  <si>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</si>
  <si>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</si>
  <si>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</si>
  <si>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</si>
  <si>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</si>
  <si>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</si>
  <si>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</si>
  <si>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</si>
  <si>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</si>
  <si>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</si>
  <si>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</si>
  <si>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</si>
  <si>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</si>
  <si>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</si>
  <si>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</si>
  <si>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</si>
  <si>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</si>
  <si>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</si>
  <si>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</si>
  <si>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</si>
  <si>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</si>
  <si>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Practice SUMIF / COUNTIF</t>
  </si>
  <si>
    <t>Total Salary (SUMIF)</t>
  </si>
  <si>
    <t>Count Employees (COUNTIF)</t>
  </si>
  <si>
    <t>SUMIFS Example (&gt;40000 Salary for Managers)</t>
  </si>
  <si>
    <t>COUNTIFS Example (&gt;40000 Salary for Managers)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</si>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</sst>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E5" sqref="E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t="s">
        <v>3</v>
      </c>
      <c r="B2" t="s">
        <v>4</v>
      </c>
      <c r="C2">
        <v>60000</v>
      </c>
      <c r="F2" s="2" t="s">
        <v>42</v>
      </c>
      <c r="G2" s="2"/>
    </row>
    <row r="3" spans="1:7" x14ac:dyDescent="0.3">
      <c r="A3" t="s">
        <v>5</v>
      </c>
      <c r="B3" t="s">
        <v>6</v>
      </c>
      <c r="C3">
        <v>35000</v>
      </c>
      <c r="F3" s="1" t="s">
        <v>4</v>
      </c>
      <c r="G3" s="1">
        <f>SUMIF($B$2:$B$31,F3,C2:C31)</f>
        <v>572000</v>
      </c>
    </row>
    <row r="4" spans="1:7" x14ac:dyDescent="0.3">
      <c r="A4" t="s">
        <v>7</v>
      </c>
      <c r="B4" t="s">
        <v>8</v>
      </c>
      <c r="C4">
        <v>25000</v>
      </c>
      <c r="F4" s="1" t="s">
        <v>6</v>
      </c>
      <c r="G4" s="1">
        <f>SUMIF($B$2:$B$31,F4,$C$3:$C$32)</f>
        <v>193500</v>
      </c>
    </row>
    <row r="5" spans="1:7" x14ac:dyDescent="0.3">
      <c r="A5" t="s">
        <v>9</v>
      </c>
      <c r="B5" t="s">
        <v>4</v>
      </c>
      <c r="C5">
        <v>65000</v>
      </c>
      <c r="F5" s="1" t="s">
        <v>8</v>
      </c>
      <c r="G5" s="1">
        <f>SUMIF($B$2:$B$31,F5,$C$4:$C$33)</f>
        <v>485000</v>
      </c>
    </row>
    <row r="6" spans="1:7" x14ac:dyDescent="0.3">
      <c r="A6" t="s">
        <v>10</v>
      </c>
      <c r="B6" t="s">
        <v>6</v>
      </c>
      <c r="C6">
        <v>38000</v>
      </c>
    </row>
    <row r="7" spans="1:7" x14ac:dyDescent="0.3">
      <c r="A7" t="s">
        <v>11</v>
      </c>
      <c r="B7" t="s">
        <v>8</v>
      </c>
      <c r="C7">
        <v>22000</v>
      </c>
    </row>
    <row r="8" spans="1:7" x14ac:dyDescent="0.3">
      <c r="A8" t="s">
        <v>12</v>
      </c>
      <c r="B8" t="s">
        <v>13</v>
      </c>
      <c r="C8">
        <v>30000</v>
      </c>
    </row>
    <row r="9" spans="1:7" x14ac:dyDescent="0.3">
      <c r="A9" t="s">
        <v>14</v>
      </c>
      <c r="B9" t="s">
        <v>4</v>
      </c>
      <c r="C9">
        <v>70000</v>
      </c>
    </row>
    <row r="10" spans="1:7" x14ac:dyDescent="0.3">
      <c r="A10" t="s">
        <v>15</v>
      </c>
      <c r="B10" t="s">
        <v>6</v>
      </c>
      <c r="C10">
        <v>36000</v>
      </c>
    </row>
    <row r="11" spans="1:7" x14ac:dyDescent="0.3">
      <c r="A11" t="s">
        <v>16</v>
      </c>
      <c r="B11" t="s">
        <v>8</v>
      </c>
      <c r="C11">
        <v>24000</v>
      </c>
    </row>
    <row r="12" spans="1:7" x14ac:dyDescent="0.3">
      <c r="A12" t="s">
        <v>17</v>
      </c>
      <c r="B12" t="s">
        <v>13</v>
      </c>
      <c r="C12">
        <v>32000</v>
      </c>
    </row>
    <row r="13" spans="1:7" x14ac:dyDescent="0.3">
      <c r="A13" t="s">
        <v>18</v>
      </c>
      <c r="B13" t="s">
        <v>4</v>
      </c>
      <c r="C13">
        <v>68000</v>
      </c>
    </row>
    <row r="14" spans="1:7" x14ac:dyDescent="0.3">
      <c r="A14" t="s">
        <v>19</v>
      </c>
      <c r="B14" t="s">
        <v>6</v>
      </c>
      <c r="C14">
        <v>34000</v>
      </c>
    </row>
    <row r="15" spans="1:7" x14ac:dyDescent="0.3">
      <c r="A15" t="s">
        <v>20</v>
      </c>
      <c r="B15" t="s">
        <v>8</v>
      </c>
      <c r="C15">
        <v>26000</v>
      </c>
    </row>
    <row r="16" spans="1:7" x14ac:dyDescent="0.3">
      <c r="A16" t="s">
        <v>21</v>
      </c>
      <c r="B16" t="s">
        <v>13</v>
      </c>
      <c r="C16">
        <v>31000</v>
      </c>
    </row>
    <row r="17" spans="1:3" x14ac:dyDescent="0.3">
      <c r="A17" t="s">
        <v>22</v>
      </c>
      <c r="B17" t="s">
        <v>4</v>
      </c>
      <c r="C17">
        <v>72000</v>
      </c>
    </row>
    <row r="18" spans="1:3" x14ac:dyDescent="0.3">
      <c r="A18" t="s">
        <v>23</v>
      </c>
      <c r="B18" t="s">
        <v>6</v>
      </c>
      <c r="C18">
        <v>39000</v>
      </c>
    </row>
    <row r="19" spans="1:3" x14ac:dyDescent="0.3">
      <c r="A19" t="s">
        <v>24</v>
      </c>
      <c r="B19" t="s">
        <v>8</v>
      </c>
      <c r="C19">
        <v>23000</v>
      </c>
    </row>
    <row r="20" spans="1:3" x14ac:dyDescent="0.3">
      <c r="A20" t="s">
        <v>25</v>
      </c>
      <c r="B20" t="s">
        <v>13</v>
      </c>
      <c r="C20">
        <v>33000</v>
      </c>
    </row>
    <row r="21" spans="1:3" x14ac:dyDescent="0.3">
      <c r="A21" t="s">
        <v>26</v>
      </c>
      <c r="B21" t="s">
        <v>4</v>
      </c>
      <c r="C21">
        <v>75000</v>
      </c>
    </row>
    <row r="22" spans="1:3" x14ac:dyDescent="0.3">
      <c r="A22" t="s">
        <v>27</v>
      </c>
      <c r="B22" t="s">
        <v>6</v>
      </c>
      <c r="C22">
        <v>37000</v>
      </c>
    </row>
    <row r="23" spans="1:3" x14ac:dyDescent="0.3">
      <c r="A23" t="s">
        <v>28</v>
      </c>
      <c r="B23" t="s">
        <v>8</v>
      </c>
      <c r="C23">
        <v>25500</v>
      </c>
    </row>
    <row r="24" spans="1:3" x14ac:dyDescent="0.3">
      <c r="A24" t="s">
        <v>29</v>
      </c>
      <c r="B24" t="s">
        <v>13</v>
      </c>
      <c r="C24">
        <v>29500</v>
      </c>
    </row>
    <row r="25" spans="1:3" x14ac:dyDescent="0.3">
      <c r="A25" t="s">
        <v>30</v>
      </c>
      <c r="B25" t="s">
        <v>4</v>
      </c>
      <c r="C25">
        <v>80000</v>
      </c>
    </row>
    <row r="26" spans="1:3" x14ac:dyDescent="0.3">
      <c r="A26" t="s">
        <v>31</v>
      </c>
      <c r="B26" t="s">
        <v>6</v>
      </c>
      <c r="C26">
        <v>36500</v>
      </c>
    </row>
    <row r="27" spans="1:3" x14ac:dyDescent="0.3">
      <c r="A27" t="s">
        <v>32</v>
      </c>
      <c r="B27" t="s">
        <v>8</v>
      </c>
      <c r="C27">
        <v>24500</v>
      </c>
    </row>
    <row r="28" spans="1:3" x14ac:dyDescent="0.3">
      <c r="A28" t="s">
        <v>33</v>
      </c>
      <c r="B28" t="s">
        <v>13</v>
      </c>
      <c r="C28">
        <v>30500</v>
      </c>
    </row>
    <row r="29" spans="1:3" x14ac:dyDescent="0.3">
      <c r="A29" t="s">
        <v>34</v>
      </c>
      <c r="B29" t="s">
        <v>4</v>
      </c>
      <c r="C29">
        <v>82000</v>
      </c>
    </row>
    <row r="30" spans="1:3" x14ac:dyDescent="0.3">
      <c r="A30" t="s">
        <v>35</v>
      </c>
      <c r="B30" t="s">
        <v>6</v>
      </c>
      <c r="C30">
        <v>35500</v>
      </c>
    </row>
    <row r="31" spans="1:3" x14ac:dyDescent="0.3">
      <c r="A31" t="s">
        <v>36</v>
      </c>
      <c r="B31" t="s">
        <v>8</v>
      </c>
      <c r="C31">
        <v>23500</v>
      </c>
    </row>
  </sheetData>
  <mergeCells count="1">
    <mergeCell ref="F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3" sqref="B3"/>
    </sheetView>
  </sheetViews>
  <sheetFormatPr defaultRowHeight="14.4" x14ac:dyDescent="0.3"/>
  <cols>
    <col min="1" max="1" width="41.88671875" bestFit="1" customWidth="1"/>
    <col min="2" max="2" width="8.21875" bestFit="1" customWidth="1"/>
  </cols>
  <sheetData>
    <row r="1" spans="1:2" x14ac:dyDescent="0.3">
      <c r="A1" t="s">
        <v>37</v>
      </c>
    </row>
    <row r="3" spans="1:2" x14ac:dyDescent="0.3">
      <c r="A3" t="s">
        <v>1</v>
      </c>
      <c r="B3" t="s">
        <v>4</v>
      </c>
    </row>
    <row r="5" spans="1:2" x14ac:dyDescent="0.3">
      <c r="A5" t="s">
        <v>38</v>
      </c>
      <c r="B5">
        <f>SUMIF(Employee_Data!B:B,B3,Employee_Data!C:C)</f>
        <v>572000</v>
      </c>
    </row>
    <row r="7" spans="1:2" x14ac:dyDescent="0.3">
      <c r="A7" t="s">
        <v>39</v>
      </c>
      <c r="B7">
        <f>COUNTIF(Employee_Data!B:B,B3)</f>
        <v>8</v>
      </c>
    </row>
    <row r="9" spans="1:2" x14ac:dyDescent="0.3">
      <c r="A9" t="s">
        <v>40</v>
      </c>
      <c r="B9">
        <f>SUMIFS(Employee_Data!C:C,Employee_Data!B:B,B3,Employee_Data!C:C,"&gt;40000")</f>
        <v>572000</v>
      </c>
    </row>
    <row r="11" spans="1:2" x14ac:dyDescent="0.3">
      <c r="A11" t="s">
        <v>41</v>
      </c>
      <c r="B11">
        <f>COUNTIFS(Employee_Data!B:B,B3,Employee_Data!C:C,"&gt;40000")</f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2026-02-21T18:22:59Z</dcterms:created>
  <dcterms:modified xsi:type="dcterms:W3CDTF">2026-02-22T18:31:41Z</dcterms:modified>
</cp:coreProperties>
</file>