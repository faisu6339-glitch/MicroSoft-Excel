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4" i="1"/>
  <c r="H23" i="1"/>
  <c r="H20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<sst xmlns="http://schemas.openxmlformats.org/spreadsheetml/2006/main" count="57" uniqueCount="28">
  <si>
    <t>Date</t>
  </si>
  <si>
    <t>Transaction Type</t>
  </si>
  <si>
    <t>Debit/Credit</t>
  </si>
  <si>
    <t>Amount</t>
  </si>
  <si>
    <t>Cash Deposit</t>
  </si>
  <si>
    <t>Credit</t>
  </si>
  <si>
    <t>ATM Withdrawal</t>
  </si>
  <si>
    <t>Debit</t>
  </si>
  <si>
    <t>Online Transfer</t>
  </si>
  <si>
    <t>Salary Credit</t>
  </si>
  <si>
    <t>UPI Payment</t>
  </si>
  <si>
    <t>Interest Credit</t>
  </si>
  <si>
    <t>Grocery Purchase</t>
  </si>
  <si>
    <t>Mobile Recharge</t>
  </si>
  <si>
    <t>Electricity Bill</t>
  </si>
  <si>
    <t>Online Shopping</t>
  </si>
  <si>
    <t>UPI Transfer</t>
  </si>
  <si>
    <t>Gas Bill</t>
  </si>
  <si>
    <t>Restaurant Payment</t>
  </si>
  <si>
    <t>Count Transactions Between Two Dates</t>
  </si>
  <si>
    <t>Count Debit Transactions Greater Than 1000</t>
  </si>
  <si>
    <t>Count Amount Greater Than 1000</t>
  </si>
  <si>
    <t>Count Specific Transaction Type</t>
  </si>
  <si>
    <t>Count Total Credit Transactions</t>
  </si>
  <si>
    <t>Count Total Debit Transactions</t>
  </si>
  <si>
    <t>Total</t>
  </si>
  <si>
    <t>Upi Payment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</si>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</sst>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E8" sqref="E8"/>
    </sheetView>
  </sheetViews>
  <sheetFormatPr defaultRowHeight="14.4" x14ac:dyDescent="0.3"/>
  <cols>
    <col min="1" max="1" width="11.21875" bestFit="1" customWidth="1"/>
    <col min="2" max="2" width="22.6640625" customWidth="1"/>
    <col min="3" max="3" width="14.5546875" bestFit="1" customWidth="1"/>
    <col min="4" max="4" width="11.77734375" customWidth="1"/>
    <col min="7" max="7" width="34.109375" bestFit="1" customWidth="1"/>
    <col min="8" max="8" width="9.77734375" bestFit="1" customWidth="1"/>
  </cols>
  <sheetData>
    <row r="1" spans="1:8" ht="36" x14ac:dyDescent="0.35">
      <c r="A1" s="7" t="s">
        <v>0</v>
      </c>
      <c r="B1" s="7" t="s">
        <v>1</v>
      </c>
      <c r="C1" s="7" t="s">
        <v>2</v>
      </c>
      <c r="D1" s="7" t="s">
        <v>3</v>
      </c>
      <c r="E1" s="8"/>
    </row>
    <row r="2" spans="1:8" ht="15.6" x14ac:dyDescent="0.3">
      <c r="A2" s="4">
        <v>46082</v>
      </c>
      <c r="B2" s="5" t="s">
        <v>4</v>
      </c>
      <c r="C2" s="5" t="s">
        <v>5</v>
      </c>
      <c r="D2" s="6">
        <v>5000</v>
      </c>
    </row>
    <row r="3" spans="1:8" ht="15.6" x14ac:dyDescent="0.3">
      <c r="A3" s="4">
        <v>46083</v>
      </c>
      <c r="B3" s="5" t="s">
        <v>6</v>
      </c>
      <c r="C3" s="5" t="s">
        <v>7</v>
      </c>
      <c r="D3" s="6">
        <v>2000</v>
      </c>
    </row>
    <row r="4" spans="1:8" ht="15.6" x14ac:dyDescent="0.3">
      <c r="A4" s="4">
        <v>46084</v>
      </c>
      <c r="B4" s="5" t="s">
        <v>8</v>
      </c>
      <c r="C4" s="5" t="s">
        <v>7</v>
      </c>
      <c r="D4" s="6">
        <v>1500</v>
      </c>
    </row>
    <row r="5" spans="1:8" ht="15.6" x14ac:dyDescent="0.3">
      <c r="A5" s="4">
        <v>46085</v>
      </c>
      <c r="B5" s="5" t="s">
        <v>9</v>
      </c>
      <c r="C5" s="5" t="s">
        <v>5</v>
      </c>
      <c r="D5" s="6">
        <v>25000</v>
      </c>
    </row>
    <row r="6" spans="1:8" ht="15.6" x14ac:dyDescent="0.3">
      <c r="A6" s="4">
        <v>46086</v>
      </c>
      <c r="B6" s="5" t="s">
        <v>10</v>
      </c>
      <c r="C6" s="5" t="s">
        <v>7</v>
      </c>
      <c r="D6" s="5">
        <v>750</v>
      </c>
    </row>
    <row r="7" spans="1:8" ht="15.6" x14ac:dyDescent="0.3">
      <c r="A7" s="4">
        <v>46087</v>
      </c>
      <c r="B7" s="5" t="s">
        <v>11</v>
      </c>
      <c r="C7" s="5" t="s">
        <v>5</v>
      </c>
      <c r="D7" s="5">
        <v>120</v>
      </c>
      <c r="G7" t="s">
        <v>24</v>
      </c>
      <c r="H7">
        <f>COUNTIF(C:C,"Debit")</f>
        <v>13</v>
      </c>
    </row>
    <row r="8" spans="1:8" ht="15.6" x14ac:dyDescent="0.3">
      <c r="A8" s="4">
        <v>46088</v>
      </c>
      <c r="B8" s="5" t="s">
        <v>12</v>
      </c>
      <c r="C8" s="5" t="s">
        <v>7</v>
      </c>
      <c r="D8" s="6">
        <v>1200</v>
      </c>
      <c r="G8" t="s">
        <v>23</v>
      </c>
      <c r="H8">
        <f>COUNTIF(C:C,"Credit")</f>
        <v>7</v>
      </c>
    </row>
    <row r="9" spans="1:8" ht="15.6" x14ac:dyDescent="0.3">
      <c r="A9" s="4">
        <v>46089</v>
      </c>
      <c r="B9" s="5" t="s">
        <v>13</v>
      </c>
      <c r="C9" s="5" t="s">
        <v>7</v>
      </c>
      <c r="D9" s="5">
        <v>399</v>
      </c>
      <c r="G9" t="s">
        <v>22</v>
      </c>
      <c r="H9">
        <f>COUNTIF(B:B,"ATM Withdrawal")</f>
        <v>2</v>
      </c>
    </row>
    <row r="10" spans="1:8" ht="15.6" x14ac:dyDescent="0.3">
      <c r="A10" s="4">
        <v>46090</v>
      </c>
      <c r="B10" s="5" t="s">
        <v>14</v>
      </c>
      <c r="C10" s="5" t="s">
        <v>7</v>
      </c>
      <c r="D10" s="6">
        <v>1850</v>
      </c>
      <c r="G10" s="1" t="s">
        <v>21</v>
      </c>
      <c r="H10">
        <f>COUNTIF(D:D,"&gt;1000")</f>
        <v>13</v>
      </c>
    </row>
    <row r="11" spans="1:8" ht="15.6" x14ac:dyDescent="0.3">
      <c r="A11" s="4">
        <v>46091</v>
      </c>
      <c r="B11" s="5" t="s">
        <v>4</v>
      </c>
      <c r="C11" s="5" t="s">
        <v>5</v>
      </c>
      <c r="D11" s="6">
        <v>3000</v>
      </c>
      <c r="G11" t="s">
        <v>20</v>
      </c>
      <c r="H11">
        <f>COUNTIFS(C:C,"Debit",D:D,"&gt;1000")</f>
        <v>8</v>
      </c>
    </row>
    <row r="12" spans="1:8" ht="15.6" x14ac:dyDescent="0.3">
      <c r="A12" s="4">
        <v>46092</v>
      </c>
      <c r="B12" s="5" t="s">
        <v>15</v>
      </c>
      <c r="C12" s="5" t="s">
        <v>7</v>
      </c>
      <c r="D12" s="6">
        <v>2450</v>
      </c>
      <c r="G12" t="s">
        <v>19</v>
      </c>
      <c r="H12">
        <f>COUNTIFS(A:A,"&gt;=01-03-2026",A:A,"&lt;=10-03-2026")</f>
        <v>10</v>
      </c>
    </row>
    <row r="13" spans="1:8" ht="15.6" x14ac:dyDescent="0.3">
      <c r="A13" s="4">
        <v>46093</v>
      </c>
      <c r="B13" s="5" t="s">
        <v>16</v>
      </c>
      <c r="C13" s="5" t="s">
        <v>7</v>
      </c>
      <c r="D13" s="5">
        <v>600</v>
      </c>
    </row>
    <row r="14" spans="1:8" ht="15.6" x14ac:dyDescent="0.3">
      <c r="A14" s="4">
        <v>46094</v>
      </c>
      <c r="B14" s="5" t="s">
        <v>9</v>
      </c>
      <c r="C14" s="5" t="s">
        <v>5</v>
      </c>
      <c r="D14" s="6">
        <v>25000</v>
      </c>
    </row>
    <row r="15" spans="1:8" ht="15.6" x14ac:dyDescent="0.3">
      <c r="A15" s="4">
        <v>46095</v>
      </c>
      <c r="B15" s="5" t="s">
        <v>6</v>
      </c>
      <c r="C15" s="5" t="s">
        <v>7</v>
      </c>
      <c r="D15" s="6">
        <v>3000</v>
      </c>
    </row>
    <row r="16" spans="1:8" ht="15.6" x14ac:dyDescent="0.3">
      <c r="A16" s="4">
        <v>46096</v>
      </c>
      <c r="B16" s="5" t="s">
        <v>17</v>
      </c>
      <c r="C16" s="5" t="s">
        <v>7</v>
      </c>
      <c r="D16" s="5">
        <v>900</v>
      </c>
    </row>
    <row r="17" spans="1:8" ht="15.6" x14ac:dyDescent="0.3">
      <c r="A17" s="4">
        <v>46097</v>
      </c>
      <c r="B17" s="5" t="s">
        <v>11</v>
      </c>
      <c r="C17" s="5" t="s">
        <v>5</v>
      </c>
      <c r="D17" s="5">
        <v>150</v>
      </c>
    </row>
    <row r="18" spans="1:8" ht="15.6" x14ac:dyDescent="0.3">
      <c r="A18" s="4">
        <v>46098</v>
      </c>
      <c r="B18" s="5" t="s">
        <v>10</v>
      </c>
      <c r="C18" s="5" t="s">
        <v>7</v>
      </c>
      <c r="D18" s="5">
        <v>420</v>
      </c>
    </row>
    <row r="19" spans="1:8" ht="15.6" x14ac:dyDescent="0.3">
      <c r="A19" s="4">
        <v>46099</v>
      </c>
      <c r="B19" s="5" t="s">
        <v>8</v>
      </c>
      <c r="C19" s="5" t="s">
        <v>7</v>
      </c>
      <c r="D19" s="6">
        <v>2100</v>
      </c>
      <c r="G19" s="2" t="s">
        <v>25</v>
      </c>
      <c r="H19" s="2" t="s">
        <v>27</v>
      </c>
    </row>
    <row r="20" spans="1:8" ht="15.6" x14ac:dyDescent="0.3">
      <c r="A20" s="4">
        <v>46100</v>
      </c>
      <c r="B20" s="5" t="s">
        <v>4</v>
      </c>
      <c r="C20" s="5" t="s">
        <v>5</v>
      </c>
      <c r="D20" s="6">
        <v>4500</v>
      </c>
      <c r="G20" s="3" t="s">
        <v>26</v>
      </c>
      <c r="H20" s="3">
        <f>COUNTIF(B2:B21,G20)</f>
        <v>2</v>
      </c>
    </row>
    <row r="21" spans="1:8" ht="23.4" customHeight="1" x14ac:dyDescent="0.3">
      <c r="A21" s="4">
        <v>46101</v>
      </c>
      <c r="B21" s="5" t="s">
        <v>18</v>
      </c>
      <c r="C21" s="5" t="s">
        <v>7</v>
      </c>
      <c r="D21" s="6">
        <v>1350</v>
      </c>
      <c r="G21" s="3" t="s">
        <v>4</v>
      </c>
      <c r="H21" s="3"/>
    </row>
    <row r="22" spans="1:8" x14ac:dyDescent="0.3">
      <c r="G22" s="3" t="s">
        <v>9</v>
      </c>
      <c r="H22" s="3">
        <f>COUNTIF(B2:B21,G22)</f>
        <v>2</v>
      </c>
    </row>
    <row r="23" spans="1:8" x14ac:dyDescent="0.3">
      <c r="G23" s="3" t="s">
        <v>5</v>
      </c>
      <c r="H23" s="3">
        <f>COUNTIF(C2:C21,G23)</f>
        <v>7</v>
      </c>
    </row>
    <row r="24" spans="1:8" x14ac:dyDescent="0.3">
      <c r="G24" s="3" t="s">
        <v>7</v>
      </c>
      <c r="H24" s="3">
        <f>COUNTIF(C2:C21,G24)</f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2026-03-06T13:34:09Z</dcterms:created>
  <dcterms:modified xsi:type="dcterms:W3CDTF">2026-03-06T13:45:34Z</dcterms:modified>
</cp:coreProperties>
</file>