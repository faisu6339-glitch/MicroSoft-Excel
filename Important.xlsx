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_With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 (Qty*Price)</t>
        </is>
      </c>
      <c r="E1" s="1" t="inlineStr">
        <is>
          <t>Discount (10%)</t>
        </is>
      </c>
      <c r="F1" s="1" t="inlineStr">
        <is>
          <t>Final Amount</t>
        </is>
      </c>
      <c r="G1" s="1" t="inlineStr">
        <is>
          <t>Max Total</t>
        </is>
      </c>
      <c r="H1" s="1" t="inlineStr">
        <is>
          <t>Min Total</t>
        </is>
      </c>
      <c r="I1" s="1" t="inlineStr">
        <is>
          <t>Average Total</t>
        </is>
      </c>
      <c r="J1" s="1" t="inlineStr">
        <is>
          <t>Count Products</t>
        </is>
      </c>
      <c r="K1" s="1" t="inlineStr">
        <is>
          <t>High Sale (IF &gt; 5000)</t>
        </is>
      </c>
    </row>
    <row r="2">
      <c r="A2" t="inlineStr">
        <is>
          <t>Laptop</t>
        </is>
      </c>
      <c r="B2" t="n">
        <v>5</v>
      </c>
      <c r="C2" t="n">
        <v>50000</v>
      </c>
      <c r="D2">
        <f>B2*C2</f>
        <v/>
      </c>
      <c r="E2">
        <f>D2*0.10</f>
        <v/>
      </c>
      <c r="F2">
        <f>D2-E2</f>
        <v/>
      </c>
      <c r="G2">
        <f>MAX(D2:D11)</f>
        <v/>
      </c>
      <c r="H2">
        <f>MIN(D2:D11)</f>
        <v/>
      </c>
      <c r="I2">
        <f>AVERAGE(D2:D11)</f>
        <v/>
      </c>
      <c r="J2">
        <f>COUNT(A2:A11)</f>
        <v/>
      </c>
      <c r="K2">
        <f>IF(D2&gt;5000,"High","Normal")</f>
        <v/>
      </c>
    </row>
    <row r="3">
      <c r="A3" t="inlineStr">
        <is>
          <t>Mouse</t>
        </is>
      </c>
      <c r="B3" t="n">
        <v>50</v>
      </c>
      <c r="C3" t="n">
        <v>500</v>
      </c>
      <c r="D3">
        <f>B3*C3</f>
        <v/>
      </c>
      <c r="E3">
        <f>D3*0.10</f>
        <v/>
      </c>
      <c r="F3">
        <f>D3-E3</f>
        <v/>
      </c>
      <c r="K3">
        <f>IF(D3&gt;5000,"High","Normal")</f>
        <v/>
      </c>
    </row>
    <row r="4">
      <c r="A4" t="inlineStr">
        <is>
          <t>Keyboard</t>
        </is>
      </c>
      <c r="B4" t="n">
        <v>30</v>
      </c>
      <c r="C4" t="n">
        <v>1500</v>
      </c>
      <c r="D4">
        <f>B4*C4</f>
        <v/>
      </c>
      <c r="E4">
        <f>D4*0.10</f>
        <v/>
      </c>
      <c r="F4">
        <f>D4-E4</f>
        <v/>
      </c>
      <c r="K4">
        <f>IF(D4&gt;5000,"High","Normal")</f>
        <v/>
      </c>
    </row>
    <row r="5">
      <c r="A5" t="inlineStr">
        <is>
          <t>Monitor</t>
        </is>
      </c>
      <c r="B5" t="n">
        <v>10</v>
      </c>
      <c r="C5" t="n">
        <v>12000</v>
      </c>
      <c r="D5">
        <f>B5*C5</f>
        <v/>
      </c>
      <c r="E5">
        <f>D5*0.10</f>
        <v/>
      </c>
      <c r="F5">
        <f>D5-E5</f>
        <v/>
      </c>
      <c r="K5">
        <f>IF(D5&gt;5000,"High","Normal")</f>
        <v/>
      </c>
    </row>
    <row r="6">
      <c r="A6" t="inlineStr">
        <is>
          <t>Printer</t>
        </is>
      </c>
      <c r="B6" t="n">
        <v>8</v>
      </c>
      <c r="C6" t="n">
        <v>8000</v>
      </c>
      <c r="D6">
        <f>B6*C6</f>
        <v/>
      </c>
      <c r="E6">
        <f>D6*0.10</f>
        <v/>
      </c>
      <c r="F6">
        <f>D6-E6</f>
        <v/>
      </c>
      <c r="K6">
        <f>IF(D6&gt;5000,"High","Normal")</f>
        <v/>
      </c>
    </row>
    <row r="7">
      <c r="A7" t="inlineStr">
        <is>
          <t>Tablet</t>
        </is>
      </c>
      <c r="B7" t="n">
        <v>12</v>
      </c>
      <c r="C7" t="n">
        <v>20000</v>
      </c>
      <c r="D7">
        <f>B7*C7</f>
        <v/>
      </c>
      <c r="E7">
        <f>D7*0.10</f>
        <v/>
      </c>
      <c r="F7">
        <f>D7-E7</f>
        <v/>
      </c>
      <c r="K7">
        <f>IF(D7&gt;5000,"High","Normal")</f>
        <v/>
      </c>
    </row>
    <row r="8">
      <c r="A8" t="inlineStr">
        <is>
          <t>Camera</t>
        </is>
      </c>
      <c r="B8" t="n">
        <v>6</v>
      </c>
      <c r="C8" t="n">
        <v>30000</v>
      </c>
      <c r="D8">
        <f>B8*C8</f>
        <v/>
      </c>
      <c r="E8">
        <f>D8*0.10</f>
        <v/>
      </c>
      <c r="F8">
        <f>D8-E8</f>
        <v/>
      </c>
      <c r="K8">
        <f>IF(D8&gt;5000,"High","Normal")</f>
        <v/>
      </c>
    </row>
    <row r="9">
      <c r="A9" t="inlineStr">
        <is>
          <t>Speaker</t>
        </is>
      </c>
      <c r="B9" t="n">
        <v>25</v>
      </c>
      <c r="C9" t="n">
        <v>2500</v>
      </c>
      <c r="D9">
        <f>B9*C9</f>
        <v/>
      </c>
      <c r="E9">
        <f>D9*0.10</f>
        <v/>
      </c>
      <c r="F9">
        <f>D9-E9</f>
        <v/>
      </c>
      <c r="K9">
        <f>IF(D9&gt;5000,"High","Normal")</f>
        <v/>
      </c>
    </row>
    <row r="10">
      <c r="A10" t="inlineStr">
        <is>
          <t>Router</t>
        </is>
      </c>
      <c r="B10" t="n">
        <v>15</v>
      </c>
      <c r="C10" t="n">
        <v>3000</v>
      </c>
      <c r="D10">
        <f>B10*C10</f>
        <v/>
      </c>
      <c r="E10">
        <f>D10*0.10</f>
        <v/>
      </c>
      <c r="F10">
        <f>D10-E10</f>
        <v/>
      </c>
      <c r="K10">
        <f>IF(D10&gt;5000,"High","Normal")</f>
        <v/>
      </c>
    </row>
    <row r="11">
      <c r="A11" t="inlineStr">
        <is>
          <t>Hard Disk</t>
        </is>
      </c>
      <c r="B11" t="n">
        <v>20</v>
      </c>
      <c r="C11" t="n">
        <v>4000</v>
      </c>
      <c r="D11">
        <f>B11*C11</f>
        <v/>
      </c>
      <c r="E11">
        <f>D11*0.10</f>
        <v/>
      </c>
      <c r="F11">
        <f>D11-E11</f>
        <v/>
      </c>
      <c r="K11">
        <f>IF(D11&gt;5000,"High","Normal")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2026-05-07T18:22:54Z</dcterms:created>
  <dcterms:modified xmlns:dcterms="http://purl.org/dc/terms/" xmlns:xsi="http://www.w3.org/2001/XMLSchema-instance" xsi:type="dcterms:W3CDTF">2026-05-07T18:22:54Z</dcterms:modified>
</cp:coreProperties>
</file>