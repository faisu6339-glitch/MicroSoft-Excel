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d Faisal Sheikh\OneDrive\Desktop\MS Excel\"/>
    </mc:Choice>
  </mc:AlternateContent>
  <bookViews>
    <workbookView xWindow="0" yWindow="0" windowWidth="11772" windowHeight="9696"/>
  </bookViews>
  <sheets>
    <sheet name="Sales Data" sheetId="1" r:id="rId1"/>
  </sheets>
  <definedNames>
    <definedName name="Slicer_employee">#N/A</definedName>
    <definedName name="Slicer_region">#N/A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Lst>
</workbook>
</file>

<file path=xl/calcChain.xml><?xml version="1.0" encoding="utf-8"?>
<calcChain xmlns="http://schemas.openxmlformats.org/spreadsheetml/2006/main">
  <c r="I4" i="1" l="1"/>
  <c r="I7"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C130" i="1"/>
  <c r="E123" i="1"/>
  <c r="I2" i="1"/>
  <c r="I3" i="1"/>
  <c r="I5" i="1"/>
  <c r="I6" i="1"/>
  <c r="I8" i="1"/>
</calcChain>
</file>

<file path=xl/sharedStrings.xml><?xml version="1.0" encoding="utf-8"?>
<sst xmlns="http://schemas.openxmlformats.org/spreadsheetml/2006/main" count="490" uniqueCount="138">
  <si>
    <t>month</t>
  </si>
  <si>
    <t>employee</t>
  </si>
  <si>
    <t>region</t>
  </si>
  <si>
    <t>pen</t>
  </si>
  <si>
    <t>penset</t>
  </si>
  <si>
    <t>pencil</t>
  </si>
  <si>
    <t>date_of_transport</t>
  </si>
  <si>
    <t>sale_target</t>
  </si>
  <si>
    <t>Feb</t>
  </si>
  <si>
    <t>Amit</t>
  </si>
  <si>
    <t>North</t>
  </si>
  <si>
    <t>2025-09-16</t>
  </si>
  <si>
    <t>Dec</t>
  </si>
  <si>
    <t>Priya</t>
  </si>
  <si>
    <t>South</t>
  </si>
  <si>
    <t>2025-09-09</t>
  </si>
  <si>
    <t>Nov</t>
  </si>
  <si>
    <t>Faisal</t>
  </si>
  <si>
    <t>2025-04-04</t>
  </si>
  <si>
    <t>Jan</t>
  </si>
  <si>
    <t>Rahul</t>
  </si>
  <si>
    <t>East</t>
  </si>
  <si>
    <t>2025-04-23</t>
  </si>
  <si>
    <t>Sep</t>
  </si>
  <si>
    <t>Arjun</t>
  </si>
  <si>
    <t>2025-08-15</t>
  </si>
  <si>
    <t>Neha</t>
  </si>
  <si>
    <t>West</t>
  </si>
  <si>
    <t>2025-01-14</t>
  </si>
  <si>
    <t>Oct</t>
  </si>
  <si>
    <t>Karan</t>
  </si>
  <si>
    <t>2025-09-14</t>
  </si>
  <si>
    <t>2025-02-13</t>
  </si>
  <si>
    <t>2025-09-17</t>
  </si>
  <si>
    <t>2025-09-07</t>
  </si>
  <si>
    <t>May</t>
  </si>
  <si>
    <t>2025-11-09</t>
  </si>
  <si>
    <t>2025-04-30</t>
  </si>
  <si>
    <t>2025-12-30</t>
  </si>
  <si>
    <t>Sana</t>
  </si>
  <si>
    <t>2025-03-06</t>
  </si>
  <si>
    <t>Jun</t>
  </si>
  <si>
    <t>2025-03-24</t>
  </si>
  <si>
    <t>Aug</t>
  </si>
  <si>
    <t>2025-08-08</t>
  </si>
  <si>
    <t>Apr</t>
  </si>
  <si>
    <t>2025-07-14</t>
  </si>
  <si>
    <t>2025-02-12</t>
  </si>
  <si>
    <t>Jul</t>
  </si>
  <si>
    <t>2025-10-27</t>
  </si>
  <si>
    <t>2025-11-27</t>
  </si>
  <si>
    <t>2025-12-25</t>
  </si>
  <si>
    <t>2025-04-11</t>
  </si>
  <si>
    <t>2025-08-29</t>
  </si>
  <si>
    <t>2025-01-16</t>
  </si>
  <si>
    <t>2025-06-25</t>
  </si>
  <si>
    <t>2025-11-03</t>
  </si>
  <si>
    <t>2025-06-19</t>
  </si>
  <si>
    <t>2025-02-15</t>
  </si>
  <si>
    <t>2025-04-21</t>
  </si>
  <si>
    <t>2025-04-27</t>
  </si>
  <si>
    <t>2025-03-07</t>
  </si>
  <si>
    <t>2025-02-21</t>
  </si>
  <si>
    <t>2025-02-25</t>
  </si>
  <si>
    <t>Mar</t>
  </si>
  <si>
    <t>2025-05-12</t>
  </si>
  <si>
    <t>2025-06-04</t>
  </si>
  <si>
    <t>2025-06-10</t>
  </si>
  <si>
    <t>2025-01-02</t>
  </si>
  <si>
    <t>2025-01-24</t>
  </si>
  <si>
    <t>2025-12-03</t>
  </si>
  <si>
    <t>2025-10-31</t>
  </si>
  <si>
    <t>2025-04-07</t>
  </si>
  <si>
    <t>2025-09-28</t>
  </si>
  <si>
    <t>2025-10-18</t>
  </si>
  <si>
    <t>2025-02-06</t>
  </si>
  <si>
    <t>2025-08-26</t>
  </si>
  <si>
    <t>2025-01-03</t>
  </si>
  <si>
    <t>2026-01-01</t>
  </si>
  <si>
    <t>2025-10-22</t>
  </si>
  <si>
    <t>2025-07-09</t>
  </si>
  <si>
    <t>2025-12-18</t>
  </si>
  <si>
    <t>2025-05-07</t>
  </si>
  <si>
    <t>2025-08-13</t>
  </si>
  <si>
    <t>2025-10-26</t>
  </si>
  <si>
    <t>2025-12-06</t>
  </si>
  <si>
    <t>2025-04-28</t>
  </si>
  <si>
    <t>2025-07-22</t>
  </si>
  <si>
    <t>2025-11-18</t>
  </si>
  <si>
    <t>2025-06-03</t>
  </si>
  <si>
    <t>2025-05-24</t>
  </si>
  <si>
    <t>2025-10-19</t>
  </si>
  <si>
    <t>2025-03-11</t>
  </si>
  <si>
    <t>2025-04-26</t>
  </si>
  <si>
    <t>2025-01-10</t>
  </si>
  <si>
    <t>2025-09-19</t>
  </si>
  <si>
    <t>2025-02-16</t>
  </si>
  <si>
    <t>2025-05-20</t>
  </si>
  <si>
    <t>2025-09-10</t>
  </si>
  <si>
    <t>2025-09-08</t>
  </si>
  <si>
    <t>2025-03-21</t>
  </si>
  <si>
    <t>2025-03-04</t>
  </si>
  <si>
    <t>2025-08-06</t>
  </si>
  <si>
    <t>2025-08-22</t>
  </si>
  <si>
    <t>2025-11-30</t>
  </si>
  <si>
    <t>2025-04-08</t>
  </si>
  <si>
    <t>2025-11-10</t>
  </si>
  <si>
    <t>2025-05-27</t>
  </si>
  <si>
    <t>2025-07-31</t>
  </si>
  <si>
    <t>2025-05-23</t>
  </si>
  <si>
    <t>2025-10-02</t>
  </si>
  <si>
    <t>2025-09-21</t>
  </si>
  <si>
    <t>2025-05-21</t>
  </si>
  <si>
    <t>2025-03-23</t>
  </si>
  <si>
    <t>2025-01-08</t>
  </si>
  <si>
    <t>2025-06-17</t>
  </si>
  <si>
    <t>2025-12-26</t>
  </si>
  <si>
    <t>2025-04-17</t>
  </si>
  <si>
    <t>2025-04-03</t>
  </si>
  <si>
    <t>2025-03-14</t>
  </si>
  <si>
    <t>2025-11-28</t>
  </si>
  <si>
    <t>2025-06-07</t>
  </si>
  <si>
    <t>2025-07-13</t>
  </si>
  <si>
    <t>2025-09-23</t>
  </si>
  <si>
    <t>2025-11-04</t>
  </si>
  <si>
    <t>2025-07-20</t>
  </si>
  <si>
    <t>2025-05-09</t>
  </si>
  <si>
    <t>2025-03-26</t>
  </si>
  <si>
    <t>2025-10-12</t>
  </si>
  <si>
    <t>2025-12-22</t>
  </si>
  <si>
    <t>2025-06-21</t>
  </si>
  <si>
    <t>2025-10-20</t>
  </si>
  <si>
    <t>2025-07-30</t>
  </si>
  <si>
    <t>2025-01-30</t>
  </si>
  <si>
    <t>2025-07-08</t>
  </si>
  <si>
    <t>2025-10-28</t>
  </si>
  <si>
    <t>Total</t>
  </si>
  <si>
    <t>9656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</si>
</sst>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1" xfId="0"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0" borderId="7" xfId="0" applyBorder="1"/>
    <xf numFmtId="0" fontId="0" fillId="0" borderId="8" xfId="0" applyBorder="1"/>
    <xf numFmtId="0" fontId="0" fillId="0" borderId="9" xfId="0" applyBorder="1"/>
    <xf numFmtId="0" fontId="0" fillId="0" borderId="5" xfId="0" applyBorder="1"/>
    <xf numFmtId="0" fontId="0" fillId="0" borderId="8" xfId="0" applyNumberFormat="1" applyBorder="1"/>
  </cellXfs>
  <cellStyles count="1">
    <cellStyle name="Normal" xfId="0" builtinId="0"/>
  </cellStyles>
  <dxfs count="22">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outline="0">
        <left style="thin">
          <color indexed="64"/>
        </left>
        <right style="thin">
          <color indexed="64"/>
        </right>
        <top style="thin">
          <color indexed="64"/>
        </top>
        <bottom/>
      </border>
    </dxf>
    <dxf>
      <border diagonalUp="0" diagonalDown="0">
        <left style="thin">
          <color indexed="64"/>
        </left>
        <right/>
        <top style="thin">
          <color indexed="64"/>
        </top>
        <bottom style="thin">
          <color indexed="64"/>
        </bottom>
        <vertical/>
        <horizontal/>
      </border>
    </dxf>
    <dxf>
      <border diagonalUp="0" diagonalDown="0" outline="0">
        <left style="thin">
          <color indexed="64"/>
        </left>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Calibri"/>
        <scheme val="minor"/>
      </font>
      <fill>
        <patternFill patternType="solid">
          <fgColor indexed="64"/>
          <bgColor rgb="FFFFC000"/>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10</xdr:col>
      <xdr:colOff>129540</xdr:colOff>
      <xdr:row>127</xdr:row>
      <xdr:rowOff>106680</xdr:rowOff>
    </xdr:from>
    <xdr:to>
      <xdr:col>13</xdr:col>
      <xdr:colOff>129540</xdr:colOff>
      <xdr:row>141</xdr:row>
      <xdr:rowOff>13335</xdr:rowOff>
    </xdr:to>
    <mc:AlternateContent xmlns:mc="http://schemas.openxmlformats.org/markup-compatibility/2006">
      <mc:Choice xmlns:sle15="http://schemas.microsoft.com/office/drawing/2012/slicer" Requires="sle15">
        <xdr:graphicFrame macro="">
          <xdr:nvGraphicFramePr>
            <xdr:cNvPr id="2" name="employee"/>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753618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160020</xdr:colOff>
      <xdr:row>127</xdr:row>
      <xdr:rowOff>167640</xdr:rowOff>
    </xdr:from>
    <xdr:to>
      <xdr:col>17</xdr:col>
      <xdr:colOff>160020</xdr:colOff>
      <xdr:row>141</xdr:row>
      <xdr:rowOff>74295</xdr:rowOff>
    </xdr:to>
    <mc:AlternateContent xmlns:mc="http://schemas.openxmlformats.org/markup-compatibility/2006">
      <mc:Choice xmlns:sle15="http://schemas.microsoft.com/office/drawing/2012/slicer" Requires="sle15">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0506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mployee" sourceName="employee">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mployee" cache="Slicer_employee" caption="employee" rowHeight="234950"/>
  <slicer name="region" cache="Slicer_region" caption="region" rowHeight="234950"/>
</slicers>
</file>

<file path=xl/tables/table1.xml><?xml version="1.0" encoding="utf-8"?>
<table xmlns="http://schemas.openxmlformats.org/spreadsheetml/2006/main" id="2" name="Table2" displayName="Table2" ref="A1:I123" totalsRowCount="1" headerRowDxfId="21" headerRowBorderDxfId="19" tableBorderDxfId="20" totalsRowBorderDxfId="18">
  <autoFilter ref="A1:I122">
    <filterColumn colId="1">
      <filters>
        <filter val="Faisal"/>
      </filters>
    </filterColumn>
    <filterColumn colId="2">
      <filters>
        <filter val="East"/>
      </filters>
    </filterColumn>
  </autoFilter>
  <tableColumns count="9">
    <tableColumn id="1" name="month" dataDxfId="16" totalsRowDxfId="17"/>
    <tableColumn id="2" name="employee" dataDxfId="14" totalsRowDxfId="15"/>
    <tableColumn id="3" name="region" dataDxfId="12" totalsRowDxfId="13"/>
    <tableColumn id="4" name="pen" totalsRowLabel="9656" dataDxfId="10" totalsRowDxfId="11"/>
    <tableColumn id="5" name="penset" totalsRowFunction="custom" dataDxfId="8" totalsRowDxfId="9">
      <totalsRowFormula>SUM(Table2[penset])</totalsRowFormula>
    </tableColumn>
    <tableColumn id="6" name="pencil" dataDxfId="6" totalsRowDxfId="7"/>
    <tableColumn id="7" name="date_of_transport" dataDxfId="4" totalsRowDxfId="5"/>
    <tableColumn id="8" name="sale_target" dataDxfId="2" totalsRowDxfId="3"/>
    <tableColumn id="11" name="Total" dataDxfId="0" totalsRowDxfId="1">
      <calculatedColumnFormula>SUM(D2,E2,F2)</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0"/>
  <sheetViews>
    <sheetView tabSelected="1" workbookViewId="0">
      <selection activeCell="D9" sqref="D9"/>
    </sheetView>
  </sheetViews>
  <sheetFormatPr defaultRowHeight="14.4" x14ac:dyDescent="0.3"/>
  <cols>
    <col min="1" max="1" width="9.109375" customWidth="1"/>
    <col min="2" max="2" width="12" customWidth="1"/>
    <col min="5" max="5" width="9.21875" customWidth="1"/>
    <col min="7" max="7" width="20" customWidth="1"/>
    <col min="8" max="8" width="13.21875" customWidth="1"/>
  </cols>
  <sheetData>
    <row r="1" spans="1:9" ht="15.6" x14ac:dyDescent="0.3">
      <c r="A1" s="4" t="s">
        <v>0</v>
      </c>
      <c r="B1" s="5" t="s">
        <v>1</v>
      </c>
      <c r="C1" s="5" t="s">
        <v>2</v>
      </c>
      <c r="D1" s="5" t="s">
        <v>3</v>
      </c>
      <c r="E1" s="5" t="s">
        <v>4</v>
      </c>
      <c r="F1" s="5" t="s">
        <v>5</v>
      </c>
      <c r="G1" s="5" t="s">
        <v>6</v>
      </c>
      <c r="H1" s="6" t="s">
        <v>7</v>
      </c>
      <c r="I1" s="5" t="s">
        <v>136</v>
      </c>
    </row>
    <row r="2" spans="1:9" hidden="1" x14ac:dyDescent="0.3">
      <c r="A2" s="2" t="s">
        <v>8</v>
      </c>
      <c r="B2" s="1" t="s">
        <v>9</v>
      </c>
      <c r="C2" s="1" t="s">
        <v>10</v>
      </c>
      <c r="D2" s="1">
        <v>207</v>
      </c>
      <c r="E2" s="1">
        <v>56</v>
      </c>
      <c r="F2" s="1">
        <v>225</v>
      </c>
      <c r="G2" s="1" t="s">
        <v>11</v>
      </c>
      <c r="H2" s="3">
        <v>49538</v>
      </c>
      <c r="I2" s="10">
        <f>SUM(D2,E2,F2)</f>
        <v>488</v>
      </c>
    </row>
    <row r="3" spans="1:9" hidden="1" x14ac:dyDescent="0.3">
      <c r="A3" s="2" t="s">
        <v>12</v>
      </c>
      <c r="B3" s="1" t="s">
        <v>13</v>
      </c>
      <c r="C3" s="1" t="s">
        <v>14</v>
      </c>
      <c r="D3" s="1">
        <v>139</v>
      </c>
      <c r="E3" s="1">
        <v>35</v>
      </c>
      <c r="F3" s="1">
        <v>795</v>
      </c>
      <c r="G3" s="1" t="s">
        <v>15</v>
      </c>
      <c r="H3" s="3">
        <v>53312</v>
      </c>
      <c r="I3" s="1">
        <f>SUM(D3,E3,F3)</f>
        <v>969</v>
      </c>
    </row>
    <row r="4" spans="1:9" hidden="1" x14ac:dyDescent="0.3">
      <c r="A4" s="2" t="s">
        <v>16</v>
      </c>
      <c r="B4" s="1" t="s">
        <v>17</v>
      </c>
      <c r="C4" s="1" t="s">
        <v>14</v>
      </c>
      <c r="D4" s="1">
        <v>210</v>
      </c>
      <c r="E4" s="1">
        <v>20</v>
      </c>
      <c r="F4" s="1">
        <v>152</v>
      </c>
      <c r="G4" s="1" t="s">
        <v>18</v>
      </c>
      <c r="H4" s="3">
        <v>32793</v>
      </c>
      <c r="I4" s="1">
        <f>SUM(D4,E4,F4)</f>
        <v>382</v>
      </c>
    </row>
    <row r="5" spans="1:9" hidden="1" x14ac:dyDescent="0.3">
      <c r="A5" s="2" t="s">
        <v>19</v>
      </c>
      <c r="B5" s="1" t="s">
        <v>20</v>
      </c>
      <c r="C5" s="1" t="s">
        <v>21</v>
      </c>
      <c r="D5" s="1">
        <v>453</v>
      </c>
      <c r="E5" s="1">
        <v>20</v>
      </c>
      <c r="F5" s="1">
        <v>196</v>
      </c>
      <c r="G5" s="1" t="s">
        <v>22</v>
      </c>
      <c r="H5" s="3">
        <v>91355</v>
      </c>
      <c r="I5" s="1">
        <f>SUM(D5,E5,F5)</f>
        <v>669</v>
      </c>
    </row>
    <row r="6" spans="1:9" hidden="1" x14ac:dyDescent="0.3">
      <c r="A6" s="2"/>
      <c r="B6" s="1"/>
      <c r="C6" s="1"/>
      <c r="D6" s="1"/>
      <c r="E6" s="1"/>
      <c r="F6" s="1"/>
      <c r="G6" s="1"/>
      <c r="H6" s="3"/>
      <c r="I6" s="1">
        <f>SUM(D6,E6,F6)</f>
        <v>0</v>
      </c>
    </row>
    <row r="7" spans="1:9" hidden="1" x14ac:dyDescent="0.3">
      <c r="A7" s="2" t="s">
        <v>23</v>
      </c>
      <c r="B7" s="1" t="s">
        <v>24</v>
      </c>
      <c r="C7" s="1" t="s">
        <v>14</v>
      </c>
      <c r="D7" s="1">
        <v>426</v>
      </c>
      <c r="E7" s="1">
        <v>159</v>
      </c>
      <c r="F7" s="1">
        <v>545</v>
      </c>
      <c r="G7" s="1" t="s">
        <v>25</v>
      </c>
      <c r="H7" s="3">
        <v>82589</v>
      </c>
      <c r="I7" s="1">
        <f>SUM(D7,E7,F7)</f>
        <v>1130</v>
      </c>
    </row>
    <row r="8" spans="1:9" hidden="1" x14ac:dyDescent="0.3">
      <c r="A8" s="2" t="s">
        <v>8</v>
      </c>
      <c r="B8" s="1" t="s">
        <v>26</v>
      </c>
      <c r="C8" s="1" t="s">
        <v>27</v>
      </c>
      <c r="D8" s="1">
        <v>368</v>
      </c>
      <c r="E8" s="1">
        <v>59</v>
      </c>
      <c r="F8" s="1">
        <v>737</v>
      </c>
      <c r="G8" s="1" t="s">
        <v>28</v>
      </c>
      <c r="H8" s="3">
        <v>51302</v>
      </c>
      <c r="I8" s="1">
        <f>SUM(D8,E8,F8)</f>
        <v>1164</v>
      </c>
    </row>
    <row r="9" spans="1:9" hidden="1" x14ac:dyDescent="0.3">
      <c r="A9" s="2" t="s">
        <v>29</v>
      </c>
      <c r="B9" s="1" t="s">
        <v>30</v>
      </c>
      <c r="C9" s="1" t="s">
        <v>27</v>
      </c>
      <c r="D9" s="1">
        <v>392</v>
      </c>
      <c r="E9" s="1">
        <v>170</v>
      </c>
      <c r="F9" s="1">
        <v>443</v>
      </c>
      <c r="G9" s="1" t="s">
        <v>31</v>
      </c>
      <c r="H9" s="3">
        <v>66873</v>
      </c>
      <c r="I9" s="1">
        <f>SUM(D9,E9,F9)</f>
        <v>1005</v>
      </c>
    </row>
    <row r="10" spans="1:9" hidden="1" x14ac:dyDescent="0.3">
      <c r="A10" s="2" t="s">
        <v>16</v>
      </c>
      <c r="B10" s="1" t="s">
        <v>20</v>
      </c>
      <c r="C10" s="1" t="s">
        <v>10</v>
      </c>
      <c r="D10" s="1">
        <v>311</v>
      </c>
      <c r="E10" s="1">
        <v>187</v>
      </c>
      <c r="F10" s="1">
        <v>665</v>
      </c>
      <c r="G10" s="1" t="s">
        <v>32</v>
      </c>
      <c r="H10" s="3">
        <v>41525</v>
      </c>
      <c r="I10" s="1">
        <f>SUM(D10,E10,F10)</f>
        <v>1163</v>
      </c>
    </row>
    <row r="11" spans="1:9" hidden="1" x14ac:dyDescent="0.3">
      <c r="A11" s="2" t="s">
        <v>12</v>
      </c>
      <c r="B11" s="1" t="s">
        <v>24</v>
      </c>
      <c r="C11" s="1" t="s">
        <v>21</v>
      </c>
      <c r="D11" s="1">
        <v>423</v>
      </c>
      <c r="E11" s="1">
        <v>192</v>
      </c>
      <c r="F11" s="1">
        <v>285</v>
      </c>
      <c r="G11" s="1" t="s">
        <v>33</v>
      </c>
      <c r="H11" s="3">
        <v>78077</v>
      </c>
      <c r="I11" s="1">
        <f>SUM(D11,E11,F11)</f>
        <v>900</v>
      </c>
    </row>
    <row r="12" spans="1:9" hidden="1" x14ac:dyDescent="0.3">
      <c r="A12" s="2" t="s">
        <v>23</v>
      </c>
      <c r="B12" s="1" t="s">
        <v>17</v>
      </c>
      <c r="C12" s="1" t="s">
        <v>27</v>
      </c>
      <c r="D12" s="1">
        <v>115</v>
      </c>
      <c r="E12" s="1">
        <v>61</v>
      </c>
      <c r="F12" s="1">
        <v>102</v>
      </c>
      <c r="G12" s="1" t="s">
        <v>34</v>
      </c>
      <c r="H12" s="3">
        <v>15534</v>
      </c>
      <c r="I12" s="1">
        <f>SUM(D12,E12,F12)</f>
        <v>278</v>
      </c>
    </row>
    <row r="13" spans="1:9" hidden="1" x14ac:dyDescent="0.3">
      <c r="A13" s="2" t="s">
        <v>35</v>
      </c>
      <c r="B13" s="1" t="s">
        <v>9</v>
      </c>
      <c r="C13" s="1" t="s">
        <v>10</v>
      </c>
      <c r="D13" s="1">
        <v>249</v>
      </c>
      <c r="E13" s="1">
        <v>32</v>
      </c>
      <c r="F13" s="1">
        <v>754</v>
      </c>
      <c r="G13" s="1" t="s">
        <v>36</v>
      </c>
      <c r="H13" s="3">
        <v>46246</v>
      </c>
      <c r="I13" s="1">
        <f>SUM(D13,E13,F13)</f>
        <v>1035</v>
      </c>
    </row>
    <row r="14" spans="1:9" hidden="1" x14ac:dyDescent="0.3">
      <c r="A14" s="2" t="s">
        <v>35</v>
      </c>
      <c r="B14" s="1" t="s">
        <v>13</v>
      </c>
      <c r="C14" s="1" t="s">
        <v>27</v>
      </c>
      <c r="D14" s="1">
        <v>328</v>
      </c>
      <c r="E14" s="1">
        <v>187</v>
      </c>
      <c r="F14" s="1">
        <v>447</v>
      </c>
      <c r="G14" s="1" t="s">
        <v>37</v>
      </c>
      <c r="H14" s="3">
        <v>33602</v>
      </c>
      <c r="I14" s="1">
        <f>SUM(D14,E14,F14)</f>
        <v>962</v>
      </c>
    </row>
    <row r="15" spans="1:9" hidden="1" x14ac:dyDescent="0.3">
      <c r="A15" s="2" t="s">
        <v>16</v>
      </c>
      <c r="B15" s="1" t="s">
        <v>24</v>
      </c>
      <c r="C15" s="1" t="s">
        <v>21</v>
      </c>
      <c r="D15" s="1">
        <v>436</v>
      </c>
      <c r="E15" s="1">
        <v>45</v>
      </c>
      <c r="F15" s="1">
        <v>454</v>
      </c>
      <c r="G15" s="1" t="s">
        <v>38</v>
      </c>
      <c r="H15" s="3">
        <v>24631</v>
      </c>
      <c r="I15" s="1">
        <f>SUM(D15,E15,F15)</f>
        <v>935</v>
      </c>
    </row>
    <row r="16" spans="1:9" hidden="1" x14ac:dyDescent="0.3">
      <c r="A16" s="2" t="s">
        <v>12</v>
      </c>
      <c r="B16" s="1" t="s">
        <v>39</v>
      </c>
      <c r="C16" s="1" t="s">
        <v>21</v>
      </c>
      <c r="D16" s="1">
        <v>189</v>
      </c>
      <c r="E16" s="1">
        <v>169</v>
      </c>
      <c r="F16" s="1">
        <v>195</v>
      </c>
      <c r="G16" s="1" t="s">
        <v>40</v>
      </c>
      <c r="H16" s="3">
        <v>75069</v>
      </c>
      <c r="I16" s="1">
        <f>SUM(D16,E16,F16)</f>
        <v>553</v>
      </c>
    </row>
    <row r="17" spans="1:9" hidden="1" x14ac:dyDescent="0.3">
      <c r="A17" s="2" t="s">
        <v>41</v>
      </c>
      <c r="B17" s="1" t="s">
        <v>30</v>
      </c>
      <c r="C17" s="1" t="s">
        <v>27</v>
      </c>
      <c r="D17" s="1">
        <v>482</v>
      </c>
      <c r="E17" s="1">
        <v>184</v>
      </c>
      <c r="F17" s="1">
        <v>142</v>
      </c>
      <c r="G17" s="1" t="s">
        <v>42</v>
      </c>
      <c r="H17" s="3">
        <v>13940</v>
      </c>
      <c r="I17" s="1">
        <f>SUM(D17,E17,F17)</f>
        <v>808</v>
      </c>
    </row>
    <row r="18" spans="1:9" hidden="1" x14ac:dyDescent="0.3">
      <c r="A18" s="2" t="s">
        <v>43</v>
      </c>
      <c r="B18" s="1" t="s">
        <v>9</v>
      </c>
      <c r="C18" s="1" t="s">
        <v>14</v>
      </c>
      <c r="D18" s="1">
        <v>328</v>
      </c>
      <c r="E18" s="1">
        <v>81</v>
      </c>
      <c r="F18" s="1">
        <v>554</v>
      </c>
      <c r="G18" s="1" t="s">
        <v>44</v>
      </c>
      <c r="H18" s="3">
        <v>45930</v>
      </c>
      <c r="I18" s="1">
        <f>SUM(D18,E18,F18)</f>
        <v>963</v>
      </c>
    </row>
    <row r="19" spans="1:9" hidden="1" x14ac:dyDescent="0.3">
      <c r="A19" s="2" t="s">
        <v>45</v>
      </c>
      <c r="B19" s="1" t="s">
        <v>24</v>
      </c>
      <c r="C19" s="1" t="s">
        <v>10</v>
      </c>
      <c r="D19" s="1">
        <v>249</v>
      </c>
      <c r="E19" s="1">
        <v>160</v>
      </c>
      <c r="F19" s="1">
        <v>649</v>
      </c>
      <c r="G19" s="1" t="s">
        <v>46</v>
      </c>
      <c r="H19" s="3">
        <v>20001</v>
      </c>
      <c r="I19" s="1">
        <f>SUM(D19,E19,F19)</f>
        <v>1058</v>
      </c>
    </row>
    <row r="20" spans="1:9" hidden="1" x14ac:dyDescent="0.3">
      <c r="A20" s="2" t="s">
        <v>35</v>
      </c>
      <c r="B20" s="1" t="s">
        <v>24</v>
      </c>
      <c r="C20" s="1" t="s">
        <v>27</v>
      </c>
      <c r="D20" s="1">
        <v>218</v>
      </c>
      <c r="E20" s="1">
        <v>124</v>
      </c>
      <c r="F20" s="1">
        <v>341</v>
      </c>
      <c r="G20" s="1" t="s">
        <v>47</v>
      </c>
      <c r="H20" s="3">
        <v>14040</v>
      </c>
      <c r="I20" s="1">
        <f>SUM(D20,E20,F20)</f>
        <v>683</v>
      </c>
    </row>
    <row r="21" spans="1:9" hidden="1" x14ac:dyDescent="0.3">
      <c r="A21" s="2" t="s">
        <v>48</v>
      </c>
      <c r="B21" s="1" t="s">
        <v>24</v>
      </c>
      <c r="C21" s="1" t="s">
        <v>21</v>
      </c>
      <c r="D21" s="1">
        <v>310</v>
      </c>
      <c r="E21" s="1">
        <v>127</v>
      </c>
      <c r="F21" s="1">
        <v>482</v>
      </c>
      <c r="G21" s="1" t="s">
        <v>49</v>
      </c>
      <c r="H21" s="3">
        <v>53437</v>
      </c>
      <c r="I21" s="1">
        <f>SUM(D21,E21,F21)</f>
        <v>919</v>
      </c>
    </row>
    <row r="22" spans="1:9" hidden="1" x14ac:dyDescent="0.3">
      <c r="A22" s="2" t="s">
        <v>12</v>
      </c>
      <c r="B22" s="1" t="s">
        <v>24</v>
      </c>
      <c r="C22" s="1" t="s">
        <v>21</v>
      </c>
      <c r="D22" s="1">
        <v>399</v>
      </c>
      <c r="E22" s="1">
        <v>147</v>
      </c>
      <c r="F22" s="1">
        <v>704</v>
      </c>
      <c r="G22" s="1" t="s">
        <v>50</v>
      </c>
      <c r="H22" s="3">
        <v>91386</v>
      </c>
      <c r="I22" s="1">
        <f>SUM(D22,E22,F22)</f>
        <v>1250</v>
      </c>
    </row>
    <row r="23" spans="1:9" hidden="1" x14ac:dyDescent="0.3">
      <c r="A23" s="2" t="s">
        <v>41</v>
      </c>
      <c r="B23" s="1" t="s">
        <v>24</v>
      </c>
      <c r="C23" s="1" t="s">
        <v>14</v>
      </c>
      <c r="D23" s="1">
        <v>182</v>
      </c>
      <c r="E23" s="1">
        <v>162</v>
      </c>
      <c r="F23" s="1">
        <v>310</v>
      </c>
      <c r="G23" s="1" t="s">
        <v>51</v>
      </c>
      <c r="H23" s="3">
        <v>39250</v>
      </c>
      <c r="I23" s="1">
        <f>SUM(D23,E23,F23)</f>
        <v>654</v>
      </c>
    </row>
    <row r="24" spans="1:9" hidden="1" x14ac:dyDescent="0.3">
      <c r="A24" s="2" t="s">
        <v>43</v>
      </c>
      <c r="B24" s="1" t="s">
        <v>39</v>
      </c>
      <c r="C24" s="1" t="s">
        <v>14</v>
      </c>
      <c r="D24" s="1">
        <v>430</v>
      </c>
      <c r="E24" s="1">
        <v>85</v>
      </c>
      <c r="F24" s="1">
        <v>212</v>
      </c>
      <c r="G24" s="1" t="s">
        <v>52</v>
      </c>
      <c r="H24" s="3">
        <v>56829</v>
      </c>
      <c r="I24" s="1">
        <f>SUM(D24,E24,F24)</f>
        <v>727</v>
      </c>
    </row>
    <row r="25" spans="1:9" hidden="1" x14ac:dyDescent="0.3">
      <c r="A25" s="2" t="s">
        <v>43</v>
      </c>
      <c r="B25" s="1" t="s">
        <v>9</v>
      </c>
      <c r="C25" s="1" t="s">
        <v>10</v>
      </c>
      <c r="D25" s="1">
        <v>321</v>
      </c>
      <c r="E25" s="1">
        <v>71</v>
      </c>
      <c r="F25" s="1">
        <v>700</v>
      </c>
      <c r="G25" s="1" t="s">
        <v>53</v>
      </c>
      <c r="H25" s="3">
        <v>27416</v>
      </c>
      <c r="I25" s="1">
        <f>SUM(D25,E25,F25)</f>
        <v>1092</v>
      </c>
    </row>
    <row r="26" spans="1:9" hidden="1" x14ac:dyDescent="0.3">
      <c r="A26" s="2" t="s">
        <v>48</v>
      </c>
      <c r="B26" s="1" t="s">
        <v>39</v>
      </c>
      <c r="C26" s="1" t="s">
        <v>27</v>
      </c>
      <c r="D26" s="1">
        <v>459</v>
      </c>
      <c r="E26" s="1">
        <v>135</v>
      </c>
      <c r="F26" s="1">
        <v>159</v>
      </c>
      <c r="G26" s="1" t="s">
        <v>54</v>
      </c>
      <c r="H26" s="3">
        <v>50119</v>
      </c>
      <c r="I26" s="1">
        <f>SUM(D26,E26,F26)</f>
        <v>753</v>
      </c>
    </row>
    <row r="27" spans="1:9" hidden="1" x14ac:dyDescent="0.3">
      <c r="A27" s="2" t="s">
        <v>19</v>
      </c>
      <c r="B27" s="1" t="s">
        <v>9</v>
      </c>
      <c r="C27" s="1" t="s">
        <v>10</v>
      </c>
      <c r="D27" s="1">
        <v>284</v>
      </c>
      <c r="E27" s="1">
        <v>135</v>
      </c>
      <c r="F27" s="1">
        <v>431</v>
      </c>
      <c r="G27" s="1" t="s">
        <v>55</v>
      </c>
      <c r="H27" s="3">
        <v>47628</v>
      </c>
      <c r="I27" s="1">
        <f>SUM(D27,E27,F27)</f>
        <v>850</v>
      </c>
    </row>
    <row r="28" spans="1:9" hidden="1" x14ac:dyDescent="0.3">
      <c r="A28" s="2" t="s">
        <v>35</v>
      </c>
      <c r="B28" s="1" t="s">
        <v>39</v>
      </c>
      <c r="C28" s="1" t="s">
        <v>27</v>
      </c>
      <c r="D28" s="1">
        <v>97</v>
      </c>
      <c r="E28" s="1">
        <v>66</v>
      </c>
      <c r="F28" s="1">
        <v>376</v>
      </c>
      <c r="G28" s="1" t="s">
        <v>56</v>
      </c>
      <c r="H28" s="3">
        <v>41346</v>
      </c>
      <c r="I28" s="1">
        <f>SUM(D28,E28,F28)</f>
        <v>539</v>
      </c>
    </row>
    <row r="29" spans="1:9" hidden="1" x14ac:dyDescent="0.3">
      <c r="A29" s="2" t="s">
        <v>41</v>
      </c>
      <c r="B29" s="1" t="s">
        <v>39</v>
      </c>
      <c r="C29" s="1" t="s">
        <v>21</v>
      </c>
      <c r="D29" s="1">
        <v>342</v>
      </c>
      <c r="E29" s="1">
        <v>24</v>
      </c>
      <c r="F29" s="1">
        <v>137</v>
      </c>
      <c r="G29" s="1" t="s">
        <v>57</v>
      </c>
      <c r="H29" s="3">
        <v>49111</v>
      </c>
      <c r="I29" s="1">
        <f>SUM(D29,E29,F29)</f>
        <v>503</v>
      </c>
    </row>
    <row r="30" spans="1:9" hidden="1" x14ac:dyDescent="0.3">
      <c r="A30" s="2" t="s">
        <v>48</v>
      </c>
      <c r="B30" s="1" t="s">
        <v>24</v>
      </c>
      <c r="C30" s="1" t="s">
        <v>10</v>
      </c>
      <c r="D30" s="1">
        <v>245</v>
      </c>
      <c r="E30" s="1">
        <v>67</v>
      </c>
      <c r="F30" s="1">
        <v>357</v>
      </c>
      <c r="G30" s="1" t="s">
        <v>58</v>
      </c>
      <c r="H30" s="3">
        <v>40235</v>
      </c>
      <c r="I30" s="1">
        <f>SUM(D30,E30,F30)</f>
        <v>669</v>
      </c>
    </row>
    <row r="31" spans="1:9" hidden="1" x14ac:dyDescent="0.3">
      <c r="A31" s="2" t="s">
        <v>23</v>
      </c>
      <c r="B31" s="1" t="s">
        <v>30</v>
      </c>
      <c r="C31" s="1" t="s">
        <v>21</v>
      </c>
      <c r="D31" s="1">
        <v>247</v>
      </c>
      <c r="E31" s="1">
        <v>66</v>
      </c>
      <c r="F31" s="1">
        <v>366</v>
      </c>
      <c r="G31" s="1" t="s">
        <v>59</v>
      </c>
      <c r="H31" s="3">
        <v>90626</v>
      </c>
      <c r="I31" s="1">
        <f>SUM(D31,E31,F31)</f>
        <v>679</v>
      </c>
    </row>
    <row r="32" spans="1:9" hidden="1" x14ac:dyDescent="0.3">
      <c r="A32" s="2" t="s">
        <v>12</v>
      </c>
      <c r="B32" s="1" t="s">
        <v>30</v>
      </c>
      <c r="C32" s="1" t="s">
        <v>14</v>
      </c>
      <c r="D32" s="1">
        <v>184</v>
      </c>
      <c r="E32" s="1">
        <v>163</v>
      </c>
      <c r="F32" s="1">
        <v>626</v>
      </c>
      <c r="G32" s="1" t="s">
        <v>60</v>
      </c>
      <c r="H32" s="3">
        <v>59040</v>
      </c>
      <c r="I32" s="1">
        <f>SUM(D32,E32,F32)</f>
        <v>973</v>
      </c>
    </row>
    <row r="33" spans="1:9" hidden="1" x14ac:dyDescent="0.3">
      <c r="A33" s="2" t="s">
        <v>29</v>
      </c>
      <c r="B33" s="1" t="s">
        <v>24</v>
      </c>
      <c r="C33" s="1" t="s">
        <v>10</v>
      </c>
      <c r="D33" s="1">
        <v>419</v>
      </c>
      <c r="E33" s="1">
        <v>36</v>
      </c>
      <c r="F33" s="1">
        <v>356</v>
      </c>
      <c r="G33" s="1" t="s">
        <v>59</v>
      </c>
      <c r="H33" s="3">
        <v>46563</v>
      </c>
      <c r="I33" s="1">
        <f>SUM(D33,E33,F33)</f>
        <v>811</v>
      </c>
    </row>
    <row r="34" spans="1:9" hidden="1" x14ac:dyDescent="0.3">
      <c r="A34" s="2" t="s">
        <v>8</v>
      </c>
      <c r="B34" s="1" t="s">
        <v>30</v>
      </c>
      <c r="C34" s="1" t="s">
        <v>27</v>
      </c>
      <c r="D34" s="1">
        <v>416</v>
      </c>
      <c r="E34" s="1">
        <v>34</v>
      </c>
      <c r="F34" s="1">
        <v>517</v>
      </c>
      <c r="G34" s="1" t="s">
        <v>61</v>
      </c>
      <c r="H34" s="3">
        <v>21906</v>
      </c>
      <c r="I34" s="1">
        <f>SUM(D34,E34,F34)</f>
        <v>967</v>
      </c>
    </row>
    <row r="35" spans="1:9" hidden="1" x14ac:dyDescent="0.3">
      <c r="A35" s="2" t="s">
        <v>12</v>
      </c>
      <c r="B35" s="1" t="s">
        <v>30</v>
      </c>
      <c r="C35" s="1" t="s">
        <v>21</v>
      </c>
      <c r="D35" s="1">
        <v>441</v>
      </c>
      <c r="E35" s="1">
        <v>64</v>
      </c>
      <c r="F35" s="1">
        <v>506</v>
      </c>
      <c r="G35" s="1" t="s">
        <v>62</v>
      </c>
      <c r="H35" s="3">
        <v>58336</v>
      </c>
      <c r="I35" s="1">
        <f>SUM(D35,E35,F35)</f>
        <v>1011</v>
      </c>
    </row>
    <row r="36" spans="1:9" hidden="1" x14ac:dyDescent="0.3">
      <c r="A36" s="2" t="s">
        <v>8</v>
      </c>
      <c r="B36" s="1" t="s">
        <v>17</v>
      </c>
      <c r="C36" s="1" t="s">
        <v>27</v>
      </c>
      <c r="D36" s="1">
        <v>473</v>
      </c>
      <c r="E36" s="1">
        <v>174</v>
      </c>
      <c r="F36" s="1">
        <v>556</v>
      </c>
      <c r="G36" s="1" t="s">
        <v>56</v>
      </c>
      <c r="H36" s="3">
        <v>11240</v>
      </c>
      <c r="I36" s="1">
        <f>SUM(D36,E36,F36)</f>
        <v>1203</v>
      </c>
    </row>
    <row r="37" spans="1:9" hidden="1" x14ac:dyDescent="0.3">
      <c r="A37" s="2" t="s">
        <v>48</v>
      </c>
      <c r="B37" s="1" t="s">
        <v>39</v>
      </c>
      <c r="C37" s="1" t="s">
        <v>27</v>
      </c>
      <c r="D37" s="1">
        <v>141</v>
      </c>
      <c r="E37" s="1">
        <v>152</v>
      </c>
      <c r="F37" s="1">
        <v>111</v>
      </c>
      <c r="G37" s="1" t="s">
        <v>63</v>
      </c>
      <c r="H37" s="3">
        <v>81928</v>
      </c>
      <c r="I37" s="1">
        <f>SUM(D37,E37,F37)</f>
        <v>404</v>
      </c>
    </row>
    <row r="38" spans="1:9" hidden="1" x14ac:dyDescent="0.3">
      <c r="A38" s="2" t="s">
        <v>64</v>
      </c>
      <c r="B38" s="1" t="s">
        <v>39</v>
      </c>
      <c r="C38" s="1" t="s">
        <v>21</v>
      </c>
      <c r="D38" s="1">
        <v>241</v>
      </c>
      <c r="E38" s="1">
        <v>94</v>
      </c>
      <c r="F38" s="1">
        <v>257</v>
      </c>
      <c r="G38" s="1" t="s">
        <v>65</v>
      </c>
      <c r="H38" s="3">
        <v>25816</v>
      </c>
      <c r="I38" s="1">
        <f>SUM(D38,E38,F38)</f>
        <v>592</v>
      </c>
    </row>
    <row r="39" spans="1:9" hidden="1" x14ac:dyDescent="0.3">
      <c r="A39" s="2" t="s">
        <v>48</v>
      </c>
      <c r="B39" s="1" t="s">
        <v>39</v>
      </c>
      <c r="C39" s="1" t="s">
        <v>10</v>
      </c>
      <c r="D39" s="1">
        <v>344</v>
      </c>
      <c r="E39" s="1">
        <v>105</v>
      </c>
      <c r="F39" s="1">
        <v>658</v>
      </c>
      <c r="G39" s="1" t="s">
        <v>66</v>
      </c>
      <c r="H39" s="3">
        <v>79131</v>
      </c>
      <c r="I39" s="1">
        <f>SUM(D39,E39,F39)</f>
        <v>1107</v>
      </c>
    </row>
    <row r="40" spans="1:9" hidden="1" x14ac:dyDescent="0.3">
      <c r="A40" s="2" t="s">
        <v>41</v>
      </c>
      <c r="B40" s="1" t="s">
        <v>24</v>
      </c>
      <c r="C40" s="1" t="s">
        <v>21</v>
      </c>
      <c r="D40" s="1">
        <v>50</v>
      </c>
      <c r="E40" s="1">
        <v>128</v>
      </c>
      <c r="F40" s="1">
        <v>480</v>
      </c>
      <c r="G40" s="1" t="s">
        <v>67</v>
      </c>
      <c r="H40" s="3">
        <v>49275</v>
      </c>
      <c r="I40" s="1">
        <f>SUM(D40,E40,F40)</f>
        <v>658</v>
      </c>
    </row>
    <row r="41" spans="1:9" hidden="1" x14ac:dyDescent="0.3">
      <c r="A41" s="2" t="s">
        <v>45</v>
      </c>
      <c r="B41" s="1" t="s">
        <v>9</v>
      </c>
      <c r="C41" s="1" t="s">
        <v>14</v>
      </c>
      <c r="D41" s="1">
        <v>212</v>
      </c>
      <c r="E41" s="1">
        <v>185</v>
      </c>
      <c r="F41" s="1">
        <v>771</v>
      </c>
      <c r="G41" s="1" t="s">
        <v>68</v>
      </c>
      <c r="H41" s="3">
        <v>23629</v>
      </c>
      <c r="I41" s="1">
        <f>SUM(D41,E41,F41)</f>
        <v>1168</v>
      </c>
    </row>
    <row r="42" spans="1:9" hidden="1" x14ac:dyDescent="0.3">
      <c r="A42" s="2" t="s">
        <v>12</v>
      </c>
      <c r="B42" s="1" t="s">
        <v>39</v>
      </c>
      <c r="C42" s="1" t="s">
        <v>10</v>
      </c>
      <c r="D42" s="1">
        <v>214</v>
      </c>
      <c r="E42" s="1">
        <v>83</v>
      </c>
      <c r="F42" s="1">
        <v>132</v>
      </c>
      <c r="G42" s="1" t="s">
        <v>69</v>
      </c>
      <c r="H42" s="3">
        <v>57951</v>
      </c>
      <c r="I42" s="1">
        <f>SUM(D42,E42,F42)</f>
        <v>429</v>
      </c>
    </row>
    <row r="43" spans="1:9" hidden="1" x14ac:dyDescent="0.3">
      <c r="A43" s="2" t="s">
        <v>41</v>
      </c>
      <c r="B43" s="1" t="s">
        <v>24</v>
      </c>
      <c r="C43" s="1" t="s">
        <v>14</v>
      </c>
      <c r="D43" s="1">
        <v>76</v>
      </c>
      <c r="E43" s="1">
        <v>42</v>
      </c>
      <c r="F43" s="1">
        <v>389</v>
      </c>
      <c r="G43" s="1" t="s">
        <v>70</v>
      </c>
      <c r="H43" s="3">
        <v>46599</v>
      </c>
      <c r="I43" s="1">
        <f>SUM(D43,E43,F43)</f>
        <v>507</v>
      </c>
    </row>
    <row r="44" spans="1:9" hidden="1" x14ac:dyDescent="0.3">
      <c r="A44" s="2" t="s">
        <v>23</v>
      </c>
      <c r="B44" s="1" t="s">
        <v>20</v>
      </c>
      <c r="C44" s="1" t="s">
        <v>14</v>
      </c>
      <c r="D44" s="1">
        <v>93</v>
      </c>
      <c r="E44" s="1">
        <v>73</v>
      </c>
      <c r="F44" s="1">
        <v>575</v>
      </c>
      <c r="G44" s="1" t="s">
        <v>71</v>
      </c>
      <c r="H44" s="3">
        <v>12273</v>
      </c>
      <c r="I44" s="1">
        <f>SUM(D44,E44,F44)</f>
        <v>741</v>
      </c>
    </row>
    <row r="45" spans="1:9" hidden="1" x14ac:dyDescent="0.3">
      <c r="A45" s="2" t="s">
        <v>16</v>
      </c>
      <c r="B45" s="1" t="s">
        <v>24</v>
      </c>
      <c r="C45" s="1" t="s">
        <v>10</v>
      </c>
      <c r="D45" s="1">
        <v>409</v>
      </c>
      <c r="E45" s="1">
        <v>30</v>
      </c>
      <c r="F45" s="1">
        <v>238</v>
      </c>
      <c r="G45" s="1" t="s">
        <v>72</v>
      </c>
      <c r="H45" s="3">
        <v>92001</v>
      </c>
      <c r="I45" s="1">
        <f>SUM(D45,E45,F45)</f>
        <v>677</v>
      </c>
    </row>
    <row r="46" spans="1:9" hidden="1" x14ac:dyDescent="0.3">
      <c r="A46" s="2" t="s">
        <v>45</v>
      </c>
      <c r="B46" s="1" t="s">
        <v>13</v>
      </c>
      <c r="C46" s="1" t="s">
        <v>10</v>
      </c>
      <c r="D46" s="1">
        <v>117</v>
      </c>
      <c r="E46" s="1">
        <v>45</v>
      </c>
      <c r="F46" s="1">
        <v>721</v>
      </c>
      <c r="G46" s="1" t="s">
        <v>49</v>
      </c>
      <c r="H46" s="3">
        <v>12790</v>
      </c>
      <c r="I46" s="1">
        <f>SUM(D46,E46,F46)</f>
        <v>883</v>
      </c>
    </row>
    <row r="47" spans="1:9" hidden="1" x14ac:dyDescent="0.3">
      <c r="A47" s="2" t="s">
        <v>19</v>
      </c>
      <c r="B47" s="1" t="s">
        <v>20</v>
      </c>
      <c r="C47" s="1" t="s">
        <v>14</v>
      </c>
      <c r="D47" s="1">
        <v>74</v>
      </c>
      <c r="E47" s="1">
        <v>94</v>
      </c>
      <c r="F47" s="1">
        <v>432</v>
      </c>
      <c r="G47" s="1" t="s">
        <v>73</v>
      </c>
      <c r="H47" s="3">
        <v>17167</v>
      </c>
      <c r="I47" s="1">
        <f>SUM(D47,E47,F47)</f>
        <v>600</v>
      </c>
    </row>
    <row r="48" spans="1:9" hidden="1" x14ac:dyDescent="0.3">
      <c r="A48" s="2" t="s">
        <v>16</v>
      </c>
      <c r="B48" s="1" t="s">
        <v>24</v>
      </c>
      <c r="C48" s="1" t="s">
        <v>14</v>
      </c>
      <c r="D48" s="1">
        <v>135</v>
      </c>
      <c r="E48" s="1">
        <v>188</v>
      </c>
      <c r="F48" s="1">
        <v>100</v>
      </c>
      <c r="G48" s="1" t="s">
        <v>74</v>
      </c>
      <c r="H48" s="3">
        <v>51106</v>
      </c>
      <c r="I48" s="1">
        <f>SUM(D48,E48,F48)</f>
        <v>423</v>
      </c>
    </row>
    <row r="49" spans="1:9" hidden="1" x14ac:dyDescent="0.3">
      <c r="A49" s="2" t="s">
        <v>48</v>
      </c>
      <c r="B49" s="1" t="s">
        <v>9</v>
      </c>
      <c r="C49" s="1" t="s">
        <v>14</v>
      </c>
      <c r="D49" s="1">
        <v>151</v>
      </c>
      <c r="E49" s="1">
        <v>143</v>
      </c>
      <c r="F49" s="1">
        <v>392</v>
      </c>
      <c r="G49" s="1" t="s">
        <v>75</v>
      </c>
      <c r="H49" s="3">
        <v>21801</v>
      </c>
      <c r="I49" s="1">
        <f>SUM(D49,E49,F49)</f>
        <v>686</v>
      </c>
    </row>
    <row r="50" spans="1:9" hidden="1" x14ac:dyDescent="0.3">
      <c r="A50" s="2" t="s">
        <v>35</v>
      </c>
      <c r="B50" s="1" t="s">
        <v>26</v>
      </c>
      <c r="C50" s="1" t="s">
        <v>14</v>
      </c>
      <c r="D50" s="1">
        <v>440</v>
      </c>
      <c r="E50" s="1">
        <v>89</v>
      </c>
      <c r="F50" s="1">
        <v>263</v>
      </c>
      <c r="G50" s="1" t="s">
        <v>76</v>
      </c>
      <c r="H50" s="3">
        <v>46389</v>
      </c>
      <c r="I50" s="1">
        <f>SUM(D50,E50,F50)</f>
        <v>792</v>
      </c>
    </row>
    <row r="51" spans="1:9" hidden="1" x14ac:dyDescent="0.3">
      <c r="A51" s="2" t="s">
        <v>45</v>
      </c>
      <c r="B51" s="1" t="s">
        <v>30</v>
      </c>
      <c r="C51" s="1" t="s">
        <v>14</v>
      </c>
      <c r="D51" s="1">
        <v>420</v>
      </c>
      <c r="E51" s="1">
        <v>41</v>
      </c>
      <c r="F51" s="1">
        <v>187</v>
      </c>
      <c r="G51" s="1" t="s">
        <v>77</v>
      </c>
      <c r="H51" s="3">
        <v>32746</v>
      </c>
      <c r="I51" s="1">
        <f>SUM(D51,E51,F51)</f>
        <v>648</v>
      </c>
    </row>
    <row r="52" spans="1:9" hidden="1" x14ac:dyDescent="0.3">
      <c r="A52" s="2" t="s">
        <v>16</v>
      </c>
      <c r="B52" s="1" t="s">
        <v>30</v>
      </c>
      <c r="C52" s="1" t="s">
        <v>10</v>
      </c>
      <c r="D52" s="1">
        <v>306</v>
      </c>
      <c r="E52" s="1">
        <v>46</v>
      </c>
      <c r="F52" s="1">
        <v>386</v>
      </c>
      <c r="G52" s="1" t="s">
        <v>78</v>
      </c>
      <c r="H52" s="3">
        <v>37843</v>
      </c>
      <c r="I52" s="1">
        <f>SUM(D52,E52,F52)</f>
        <v>738</v>
      </c>
    </row>
    <row r="53" spans="1:9" hidden="1" x14ac:dyDescent="0.3">
      <c r="A53" s="2" t="s">
        <v>19</v>
      </c>
      <c r="B53" s="1" t="s">
        <v>20</v>
      </c>
      <c r="C53" s="1" t="s">
        <v>21</v>
      </c>
      <c r="D53" s="1">
        <v>462</v>
      </c>
      <c r="E53" s="1">
        <v>45</v>
      </c>
      <c r="F53" s="1">
        <v>762</v>
      </c>
      <c r="G53" s="1" t="s">
        <v>79</v>
      </c>
      <c r="H53" s="3">
        <v>80878</v>
      </c>
      <c r="I53" s="1">
        <f>SUM(D53,E53,F53)</f>
        <v>1269</v>
      </c>
    </row>
    <row r="54" spans="1:9" hidden="1" x14ac:dyDescent="0.3">
      <c r="A54" s="2" t="s">
        <v>16</v>
      </c>
      <c r="B54" s="1" t="s">
        <v>9</v>
      </c>
      <c r="C54" s="1" t="s">
        <v>21</v>
      </c>
      <c r="D54" s="1">
        <v>354</v>
      </c>
      <c r="E54" s="1">
        <v>41</v>
      </c>
      <c r="F54" s="1">
        <v>574</v>
      </c>
      <c r="G54" s="1" t="s">
        <v>80</v>
      </c>
      <c r="H54" s="3">
        <v>97461</v>
      </c>
      <c r="I54" s="1">
        <f>SUM(D54,E54,F54)</f>
        <v>969</v>
      </c>
    </row>
    <row r="55" spans="1:9" hidden="1" x14ac:dyDescent="0.3">
      <c r="A55" s="2" t="s">
        <v>8</v>
      </c>
      <c r="B55" s="1" t="s">
        <v>39</v>
      </c>
      <c r="C55" s="1" t="s">
        <v>10</v>
      </c>
      <c r="D55" s="1">
        <v>374</v>
      </c>
      <c r="E55" s="1">
        <v>42</v>
      </c>
      <c r="F55" s="1">
        <v>209</v>
      </c>
      <c r="G55" s="1" t="s">
        <v>81</v>
      </c>
      <c r="H55" s="3">
        <v>12192</v>
      </c>
      <c r="I55" s="1">
        <f>SUM(D55,E55,F55)</f>
        <v>625</v>
      </c>
    </row>
    <row r="56" spans="1:9" hidden="1" x14ac:dyDescent="0.3">
      <c r="A56" s="2" t="s">
        <v>19</v>
      </c>
      <c r="B56" s="1" t="s">
        <v>30</v>
      </c>
      <c r="C56" s="1" t="s">
        <v>10</v>
      </c>
      <c r="D56" s="1">
        <v>352</v>
      </c>
      <c r="E56" s="1">
        <v>41</v>
      </c>
      <c r="F56" s="1">
        <v>129</v>
      </c>
      <c r="G56" s="1" t="s">
        <v>82</v>
      </c>
      <c r="H56" s="3">
        <v>66052</v>
      </c>
      <c r="I56" s="1">
        <f>SUM(D56,E56,F56)</f>
        <v>522</v>
      </c>
    </row>
    <row r="57" spans="1:9" hidden="1" x14ac:dyDescent="0.3">
      <c r="A57" s="2" t="s">
        <v>45</v>
      </c>
      <c r="B57" s="1" t="s">
        <v>13</v>
      </c>
      <c r="C57" s="1" t="s">
        <v>21</v>
      </c>
      <c r="D57" s="1">
        <v>276</v>
      </c>
      <c r="E57" s="1">
        <v>187</v>
      </c>
      <c r="F57" s="1">
        <v>387</v>
      </c>
      <c r="G57" s="1" t="s">
        <v>83</v>
      </c>
      <c r="H57" s="3">
        <v>78621</v>
      </c>
      <c r="I57" s="1">
        <f>SUM(D57,E57,F57)</f>
        <v>850</v>
      </c>
    </row>
    <row r="58" spans="1:9" hidden="1" x14ac:dyDescent="0.3">
      <c r="A58" s="2" t="s">
        <v>64</v>
      </c>
      <c r="B58" s="1" t="s">
        <v>9</v>
      </c>
      <c r="C58" s="1" t="s">
        <v>21</v>
      </c>
      <c r="D58" s="1">
        <v>333</v>
      </c>
      <c r="E58" s="1">
        <v>162</v>
      </c>
      <c r="F58" s="1">
        <v>256</v>
      </c>
      <c r="G58" s="1" t="s">
        <v>84</v>
      </c>
      <c r="H58" s="3">
        <v>39292</v>
      </c>
      <c r="I58" s="1">
        <f>SUM(D58,E58,F58)</f>
        <v>751</v>
      </c>
    </row>
    <row r="59" spans="1:9" hidden="1" x14ac:dyDescent="0.3">
      <c r="A59" s="2" t="s">
        <v>43</v>
      </c>
      <c r="B59" s="1" t="s">
        <v>39</v>
      </c>
      <c r="C59" s="1" t="s">
        <v>14</v>
      </c>
      <c r="D59" s="1">
        <v>305</v>
      </c>
      <c r="E59" s="1">
        <v>154</v>
      </c>
      <c r="F59" s="1">
        <v>277</v>
      </c>
      <c r="G59" s="1" t="s">
        <v>85</v>
      </c>
      <c r="H59" s="3">
        <v>28079</v>
      </c>
      <c r="I59" s="1">
        <f>SUM(D59,E59,F59)</f>
        <v>736</v>
      </c>
    </row>
    <row r="60" spans="1:9" hidden="1" x14ac:dyDescent="0.3">
      <c r="A60" s="2" t="s">
        <v>23</v>
      </c>
      <c r="B60" s="1" t="s">
        <v>17</v>
      </c>
      <c r="C60" s="1" t="s">
        <v>14</v>
      </c>
      <c r="D60" s="1">
        <v>498</v>
      </c>
      <c r="E60" s="1">
        <v>52</v>
      </c>
      <c r="F60" s="1">
        <v>354</v>
      </c>
      <c r="G60" s="1" t="s">
        <v>86</v>
      </c>
      <c r="H60" s="3">
        <v>81562</v>
      </c>
      <c r="I60" s="1">
        <f>SUM(D60,E60,F60)</f>
        <v>904</v>
      </c>
    </row>
    <row r="61" spans="1:9" hidden="1" x14ac:dyDescent="0.3">
      <c r="A61" s="2" t="s">
        <v>23</v>
      </c>
      <c r="B61" s="1" t="s">
        <v>24</v>
      </c>
      <c r="C61" s="1" t="s">
        <v>14</v>
      </c>
      <c r="D61" s="1">
        <v>251</v>
      </c>
      <c r="E61" s="1">
        <v>148</v>
      </c>
      <c r="F61" s="1">
        <v>403</v>
      </c>
      <c r="G61" s="1" t="s">
        <v>87</v>
      </c>
      <c r="H61" s="3">
        <v>14420</v>
      </c>
      <c r="I61" s="1">
        <f>SUM(D61,E61,F61)</f>
        <v>802</v>
      </c>
    </row>
    <row r="62" spans="1:9" hidden="1" x14ac:dyDescent="0.3">
      <c r="A62" s="2" t="s">
        <v>41</v>
      </c>
      <c r="B62" s="1" t="s">
        <v>39</v>
      </c>
      <c r="C62" s="1" t="s">
        <v>27</v>
      </c>
      <c r="D62" s="1">
        <v>407</v>
      </c>
      <c r="E62" s="1">
        <v>148</v>
      </c>
      <c r="F62" s="1">
        <v>268</v>
      </c>
      <c r="G62" s="1" t="s">
        <v>88</v>
      </c>
      <c r="H62" s="3">
        <v>47121</v>
      </c>
      <c r="I62" s="1">
        <f>SUM(D62,E62,F62)</f>
        <v>823</v>
      </c>
    </row>
    <row r="63" spans="1:9" hidden="1" x14ac:dyDescent="0.3">
      <c r="A63" s="2" t="s">
        <v>35</v>
      </c>
      <c r="B63" s="1" t="s">
        <v>20</v>
      </c>
      <c r="C63" s="1" t="s">
        <v>10</v>
      </c>
      <c r="D63" s="1">
        <v>346</v>
      </c>
      <c r="E63" s="1">
        <v>29</v>
      </c>
      <c r="F63" s="1">
        <v>580</v>
      </c>
      <c r="G63" s="1" t="s">
        <v>89</v>
      </c>
      <c r="H63" s="3">
        <v>28847</v>
      </c>
      <c r="I63" s="1">
        <f>SUM(D63,E63,F63)</f>
        <v>955</v>
      </c>
    </row>
    <row r="64" spans="1:9" hidden="1" x14ac:dyDescent="0.3">
      <c r="A64" s="2" t="s">
        <v>35</v>
      </c>
      <c r="B64" s="1" t="s">
        <v>17</v>
      </c>
      <c r="C64" s="1" t="s">
        <v>10</v>
      </c>
      <c r="D64" s="1">
        <v>257</v>
      </c>
      <c r="E64" s="1">
        <v>116</v>
      </c>
      <c r="F64" s="1">
        <v>362</v>
      </c>
      <c r="G64" s="1" t="s">
        <v>90</v>
      </c>
      <c r="H64" s="3">
        <v>47205</v>
      </c>
      <c r="I64" s="1">
        <f>SUM(D64,E64,F64)</f>
        <v>735</v>
      </c>
    </row>
    <row r="65" spans="1:9" hidden="1" x14ac:dyDescent="0.3">
      <c r="A65" s="2" t="s">
        <v>45</v>
      </c>
      <c r="B65" s="1" t="s">
        <v>9</v>
      </c>
      <c r="C65" s="1" t="s">
        <v>21</v>
      </c>
      <c r="D65" s="1">
        <v>156</v>
      </c>
      <c r="E65" s="1">
        <v>147</v>
      </c>
      <c r="F65" s="1">
        <v>616</v>
      </c>
      <c r="G65" s="1" t="s">
        <v>91</v>
      </c>
      <c r="H65" s="3">
        <v>39619</v>
      </c>
      <c r="I65" s="1">
        <f>SUM(D65,E65,F65)</f>
        <v>919</v>
      </c>
    </row>
    <row r="66" spans="1:9" hidden="1" x14ac:dyDescent="0.3">
      <c r="A66" s="2" t="s">
        <v>8</v>
      </c>
      <c r="B66" s="1" t="s">
        <v>13</v>
      </c>
      <c r="C66" s="1" t="s">
        <v>10</v>
      </c>
      <c r="D66" s="1">
        <v>497</v>
      </c>
      <c r="E66" s="1">
        <v>133</v>
      </c>
      <c r="F66" s="1">
        <v>242</v>
      </c>
      <c r="G66" s="1" t="s">
        <v>92</v>
      </c>
      <c r="H66" s="3">
        <v>41178</v>
      </c>
      <c r="I66" s="1">
        <f>SUM(D66,E66,F66)</f>
        <v>872</v>
      </c>
    </row>
    <row r="67" spans="1:9" hidden="1" x14ac:dyDescent="0.3">
      <c r="A67" s="2" t="s">
        <v>16</v>
      </c>
      <c r="B67" s="1" t="s">
        <v>17</v>
      </c>
      <c r="C67" s="1" t="s">
        <v>14</v>
      </c>
      <c r="D67" s="1">
        <v>472</v>
      </c>
      <c r="E67" s="1">
        <v>72</v>
      </c>
      <c r="F67" s="1">
        <v>720</v>
      </c>
      <c r="G67" s="1" t="s">
        <v>93</v>
      </c>
      <c r="H67" s="3">
        <v>11188</v>
      </c>
      <c r="I67" s="1">
        <f>SUM(D67,E67,F67)</f>
        <v>1264</v>
      </c>
    </row>
    <row r="68" spans="1:9" hidden="1" x14ac:dyDescent="0.3">
      <c r="A68" s="2" t="s">
        <v>19</v>
      </c>
      <c r="B68" s="1" t="s">
        <v>39</v>
      </c>
      <c r="C68" s="1" t="s">
        <v>10</v>
      </c>
      <c r="D68" s="1">
        <v>374</v>
      </c>
      <c r="E68" s="1">
        <v>144</v>
      </c>
      <c r="F68" s="1">
        <v>295</v>
      </c>
      <c r="G68" s="1" t="s">
        <v>94</v>
      </c>
      <c r="H68" s="3">
        <v>92518</v>
      </c>
      <c r="I68" s="1">
        <f>SUM(D68,E68,F68)</f>
        <v>813</v>
      </c>
    </row>
    <row r="69" spans="1:9" hidden="1" x14ac:dyDescent="0.3">
      <c r="A69" s="2" t="s">
        <v>48</v>
      </c>
      <c r="B69" s="1" t="s">
        <v>30</v>
      </c>
      <c r="C69" s="1" t="s">
        <v>10</v>
      </c>
      <c r="D69" s="1">
        <v>366</v>
      </c>
      <c r="E69" s="1">
        <v>42</v>
      </c>
      <c r="F69" s="1">
        <v>749</v>
      </c>
      <c r="G69" s="1" t="s">
        <v>95</v>
      </c>
      <c r="H69" s="3">
        <v>96268</v>
      </c>
      <c r="I69" s="1">
        <f>SUM(D69,E69,F69)</f>
        <v>1157</v>
      </c>
    </row>
    <row r="70" spans="1:9" hidden="1" x14ac:dyDescent="0.3">
      <c r="A70" s="2" t="s">
        <v>43</v>
      </c>
      <c r="B70" s="1" t="s">
        <v>17</v>
      </c>
      <c r="C70" s="1" t="s">
        <v>10</v>
      </c>
      <c r="D70" s="1">
        <v>89</v>
      </c>
      <c r="E70" s="1">
        <v>107</v>
      </c>
      <c r="F70" s="1">
        <v>618</v>
      </c>
      <c r="G70" s="1" t="s">
        <v>96</v>
      </c>
      <c r="H70" s="3">
        <v>54457</v>
      </c>
      <c r="I70" s="1">
        <f>SUM(D70,E70,F70)</f>
        <v>814</v>
      </c>
    </row>
    <row r="71" spans="1:9" hidden="1" x14ac:dyDescent="0.3">
      <c r="A71" s="2" t="s">
        <v>19</v>
      </c>
      <c r="B71" s="1" t="s">
        <v>39</v>
      </c>
      <c r="C71" s="1" t="s">
        <v>27</v>
      </c>
      <c r="D71" s="1">
        <v>383</v>
      </c>
      <c r="E71" s="1">
        <v>200</v>
      </c>
      <c r="F71" s="1">
        <v>575</v>
      </c>
      <c r="G71" s="1" t="s">
        <v>97</v>
      </c>
      <c r="H71" s="3">
        <v>20443</v>
      </c>
      <c r="I71" s="1">
        <f>SUM(D71,E71,F71)</f>
        <v>1158</v>
      </c>
    </row>
    <row r="72" spans="1:9" hidden="1" x14ac:dyDescent="0.3">
      <c r="A72" s="2" t="s">
        <v>41</v>
      </c>
      <c r="B72" s="1" t="s">
        <v>26</v>
      </c>
      <c r="C72" s="1" t="s">
        <v>27</v>
      </c>
      <c r="D72" s="1">
        <v>258</v>
      </c>
      <c r="E72" s="1">
        <v>32</v>
      </c>
      <c r="F72" s="1">
        <v>442</v>
      </c>
      <c r="G72" s="1" t="s">
        <v>98</v>
      </c>
      <c r="H72" s="3">
        <v>43446</v>
      </c>
      <c r="I72" s="1">
        <f>SUM(D72,E72,F72)</f>
        <v>732</v>
      </c>
    </row>
    <row r="73" spans="1:9" hidden="1" x14ac:dyDescent="0.3">
      <c r="A73" s="2" t="s">
        <v>35</v>
      </c>
      <c r="B73" s="1" t="s">
        <v>24</v>
      </c>
      <c r="C73" s="1" t="s">
        <v>21</v>
      </c>
      <c r="D73" s="1">
        <v>204</v>
      </c>
      <c r="E73" s="1">
        <v>120</v>
      </c>
      <c r="F73" s="1">
        <v>109</v>
      </c>
      <c r="G73" s="1" t="s">
        <v>99</v>
      </c>
      <c r="H73" s="3">
        <v>31990</v>
      </c>
      <c r="I73" s="1">
        <f>SUM(D73,E73,F73)</f>
        <v>433</v>
      </c>
    </row>
    <row r="74" spans="1:9" hidden="1" x14ac:dyDescent="0.3">
      <c r="A74" s="2" t="s">
        <v>48</v>
      </c>
      <c r="B74" s="1" t="s">
        <v>9</v>
      </c>
      <c r="C74" s="1" t="s">
        <v>14</v>
      </c>
      <c r="D74" s="1">
        <v>255</v>
      </c>
      <c r="E74" s="1">
        <v>118</v>
      </c>
      <c r="F74" s="1">
        <v>409</v>
      </c>
      <c r="G74" s="1" t="s">
        <v>100</v>
      </c>
      <c r="H74" s="3">
        <v>56884</v>
      </c>
      <c r="I74" s="1">
        <f>SUM(D74,E74,F74)</f>
        <v>782</v>
      </c>
    </row>
    <row r="75" spans="1:9" hidden="1" x14ac:dyDescent="0.3">
      <c r="A75" s="2" t="s">
        <v>12</v>
      </c>
      <c r="B75" s="1" t="s">
        <v>39</v>
      </c>
      <c r="C75" s="1" t="s">
        <v>10</v>
      </c>
      <c r="D75" s="1">
        <v>446</v>
      </c>
      <c r="E75" s="1">
        <v>59</v>
      </c>
      <c r="F75" s="1">
        <v>357</v>
      </c>
      <c r="G75" s="1" t="s">
        <v>101</v>
      </c>
      <c r="H75" s="3">
        <v>47536</v>
      </c>
      <c r="I75" s="1">
        <f>SUM(D75,E75,F75)</f>
        <v>862</v>
      </c>
    </row>
    <row r="76" spans="1:9" hidden="1" x14ac:dyDescent="0.3">
      <c r="A76" s="2" t="s">
        <v>64</v>
      </c>
      <c r="B76" s="1" t="s">
        <v>9</v>
      </c>
      <c r="C76" s="1" t="s">
        <v>14</v>
      </c>
      <c r="D76" s="1">
        <v>413</v>
      </c>
      <c r="E76" s="1">
        <v>156</v>
      </c>
      <c r="F76" s="1">
        <v>686</v>
      </c>
      <c r="G76" s="1" t="s">
        <v>102</v>
      </c>
      <c r="H76" s="3">
        <v>99770</v>
      </c>
      <c r="I76" s="1">
        <f>SUM(D76,E76,F76)</f>
        <v>1255</v>
      </c>
    </row>
    <row r="77" spans="1:9" hidden="1" x14ac:dyDescent="0.3">
      <c r="A77" s="2" t="s">
        <v>19</v>
      </c>
      <c r="B77" s="1" t="s">
        <v>17</v>
      </c>
      <c r="C77" s="1" t="s">
        <v>10</v>
      </c>
      <c r="D77" s="1">
        <v>114</v>
      </c>
      <c r="E77" s="1">
        <v>80</v>
      </c>
      <c r="F77" s="1">
        <v>764</v>
      </c>
      <c r="G77" s="1" t="s">
        <v>61</v>
      </c>
      <c r="H77" s="3">
        <v>61968</v>
      </c>
      <c r="I77" s="1">
        <f>SUM(D77,E77,F77)</f>
        <v>958</v>
      </c>
    </row>
    <row r="78" spans="1:9" hidden="1" x14ac:dyDescent="0.3">
      <c r="A78" s="2" t="s">
        <v>19</v>
      </c>
      <c r="B78" s="1" t="s">
        <v>39</v>
      </c>
      <c r="C78" s="1" t="s">
        <v>14</v>
      </c>
      <c r="D78" s="1">
        <v>179</v>
      </c>
      <c r="E78" s="1">
        <v>161</v>
      </c>
      <c r="F78" s="1">
        <v>282</v>
      </c>
      <c r="G78" s="1" t="s">
        <v>103</v>
      </c>
      <c r="H78" s="3">
        <v>99095</v>
      </c>
      <c r="I78" s="1">
        <f>SUM(D78,E78,F78)</f>
        <v>622</v>
      </c>
    </row>
    <row r="79" spans="1:9" x14ac:dyDescent="0.3">
      <c r="A79" s="2" t="s">
        <v>41</v>
      </c>
      <c r="B79" s="1" t="s">
        <v>17</v>
      </c>
      <c r="C79" s="1" t="s">
        <v>21</v>
      </c>
      <c r="D79" s="1">
        <v>402</v>
      </c>
      <c r="E79" s="1">
        <v>95</v>
      </c>
      <c r="F79" s="1">
        <v>473</v>
      </c>
      <c r="G79" s="1" t="s">
        <v>104</v>
      </c>
      <c r="H79" s="3">
        <v>74137</v>
      </c>
      <c r="I79" s="1">
        <f>SUM(D79,E79,F79)</f>
        <v>970</v>
      </c>
    </row>
    <row r="80" spans="1:9" hidden="1" x14ac:dyDescent="0.3">
      <c r="A80" s="2" t="s">
        <v>29</v>
      </c>
      <c r="B80" s="1" t="s">
        <v>13</v>
      </c>
      <c r="C80" s="1" t="s">
        <v>10</v>
      </c>
      <c r="D80" s="1">
        <v>436</v>
      </c>
      <c r="E80" s="1">
        <v>62</v>
      </c>
      <c r="F80" s="1">
        <v>506</v>
      </c>
      <c r="G80" s="1" t="s">
        <v>105</v>
      </c>
      <c r="H80" s="3">
        <v>78046</v>
      </c>
      <c r="I80" s="1">
        <f>SUM(D80,E80,F80)</f>
        <v>1004</v>
      </c>
    </row>
    <row r="81" spans="1:9" hidden="1" x14ac:dyDescent="0.3">
      <c r="A81" s="2" t="s">
        <v>45</v>
      </c>
      <c r="B81" s="1" t="s">
        <v>20</v>
      </c>
      <c r="C81" s="1" t="s">
        <v>10</v>
      </c>
      <c r="D81" s="1">
        <v>297</v>
      </c>
      <c r="E81" s="1">
        <v>33</v>
      </c>
      <c r="F81" s="1">
        <v>323</v>
      </c>
      <c r="G81" s="1" t="s">
        <v>54</v>
      </c>
      <c r="H81" s="3">
        <v>30145</v>
      </c>
      <c r="I81" s="1">
        <f>SUM(D81,E81,F81)</f>
        <v>653</v>
      </c>
    </row>
    <row r="82" spans="1:9" hidden="1" x14ac:dyDescent="0.3">
      <c r="A82" s="2" t="s">
        <v>35</v>
      </c>
      <c r="B82" s="1" t="s">
        <v>17</v>
      </c>
      <c r="C82" s="1" t="s">
        <v>10</v>
      </c>
      <c r="D82" s="1">
        <v>253</v>
      </c>
      <c r="E82" s="1">
        <v>167</v>
      </c>
      <c r="F82" s="1">
        <v>135</v>
      </c>
      <c r="G82" s="1" t="s">
        <v>106</v>
      </c>
      <c r="H82" s="3">
        <v>32195</v>
      </c>
      <c r="I82" s="1">
        <f>SUM(D82,E82,F82)</f>
        <v>555</v>
      </c>
    </row>
    <row r="83" spans="1:9" hidden="1" x14ac:dyDescent="0.3">
      <c r="A83" s="2" t="s">
        <v>43</v>
      </c>
      <c r="B83" s="1" t="s">
        <v>20</v>
      </c>
      <c r="C83" s="1" t="s">
        <v>27</v>
      </c>
      <c r="D83" s="1">
        <v>121</v>
      </c>
      <c r="E83" s="1">
        <v>191</v>
      </c>
      <c r="F83" s="1">
        <v>363</v>
      </c>
      <c r="G83" s="1" t="s">
        <v>107</v>
      </c>
      <c r="H83" s="3">
        <v>89144</v>
      </c>
      <c r="I83" s="1">
        <f>SUM(D83,E83,F83)</f>
        <v>675</v>
      </c>
    </row>
    <row r="84" spans="1:9" hidden="1" x14ac:dyDescent="0.3">
      <c r="A84" s="2" t="s">
        <v>43</v>
      </c>
      <c r="B84" s="1" t="s">
        <v>39</v>
      </c>
      <c r="C84" s="1" t="s">
        <v>21</v>
      </c>
      <c r="D84" s="1">
        <v>155</v>
      </c>
      <c r="E84" s="1">
        <v>200</v>
      </c>
      <c r="F84" s="1">
        <v>216</v>
      </c>
      <c r="G84" s="1" t="s">
        <v>108</v>
      </c>
      <c r="H84" s="3">
        <v>80723</v>
      </c>
      <c r="I84" s="1">
        <f>SUM(D84,E84,F84)</f>
        <v>571</v>
      </c>
    </row>
    <row r="85" spans="1:9" hidden="1" x14ac:dyDescent="0.3">
      <c r="A85" s="2" t="s">
        <v>19</v>
      </c>
      <c r="B85" s="1" t="s">
        <v>13</v>
      </c>
      <c r="C85" s="1" t="s">
        <v>10</v>
      </c>
      <c r="D85" s="1">
        <v>388</v>
      </c>
      <c r="E85" s="1">
        <v>30</v>
      </c>
      <c r="F85" s="1">
        <v>392</v>
      </c>
      <c r="G85" s="1" t="s">
        <v>109</v>
      </c>
      <c r="H85" s="3">
        <v>15172</v>
      </c>
      <c r="I85" s="1">
        <f>SUM(D85,E85,F85)</f>
        <v>810</v>
      </c>
    </row>
    <row r="86" spans="1:9" hidden="1" x14ac:dyDescent="0.3">
      <c r="A86" s="2" t="s">
        <v>19</v>
      </c>
      <c r="B86" s="1" t="s">
        <v>9</v>
      </c>
      <c r="C86" s="1" t="s">
        <v>14</v>
      </c>
      <c r="D86" s="1">
        <v>277</v>
      </c>
      <c r="E86" s="1">
        <v>125</v>
      </c>
      <c r="F86" s="1">
        <v>419</v>
      </c>
      <c r="G86" s="1" t="s">
        <v>110</v>
      </c>
      <c r="H86" s="3">
        <v>26495</v>
      </c>
      <c r="I86" s="1">
        <f>SUM(D86,E86,F86)</f>
        <v>821</v>
      </c>
    </row>
    <row r="87" spans="1:9" hidden="1" x14ac:dyDescent="0.3">
      <c r="A87" s="2" t="s">
        <v>12</v>
      </c>
      <c r="B87" s="1" t="s">
        <v>20</v>
      </c>
      <c r="C87" s="1" t="s">
        <v>10</v>
      </c>
      <c r="D87" s="1">
        <v>492</v>
      </c>
      <c r="E87" s="1">
        <v>119</v>
      </c>
      <c r="F87" s="1">
        <v>557</v>
      </c>
      <c r="G87" s="1" t="s">
        <v>111</v>
      </c>
      <c r="H87" s="3">
        <v>74228</v>
      </c>
      <c r="I87" s="1">
        <f>SUM(D87,E87,F87)</f>
        <v>1168</v>
      </c>
    </row>
    <row r="88" spans="1:9" hidden="1" x14ac:dyDescent="0.3">
      <c r="A88" s="2" t="s">
        <v>16</v>
      </c>
      <c r="B88" s="1" t="s">
        <v>17</v>
      </c>
      <c r="C88" s="1" t="s">
        <v>14</v>
      </c>
      <c r="D88" s="1">
        <v>50</v>
      </c>
      <c r="E88" s="1">
        <v>144</v>
      </c>
      <c r="F88" s="1">
        <v>741</v>
      </c>
      <c r="G88" s="1" t="s">
        <v>112</v>
      </c>
      <c r="H88" s="3">
        <v>36440</v>
      </c>
      <c r="I88" s="1">
        <f>SUM(D88,E88,F88)</f>
        <v>935</v>
      </c>
    </row>
    <row r="89" spans="1:9" hidden="1" x14ac:dyDescent="0.3">
      <c r="A89" s="2" t="s">
        <v>64</v>
      </c>
      <c r="B89" s="1" t="s">
        <v>30</v>
      </c>
      <c r="C89" s="1" t="s">
        <v>10</v>
      </c>
      <c r="D89" s="1">
        <v>260</v>
      </c>
      <c r="E89" s="1">
        <v>23</v>
      </c>
      <c r="F89" s="1">
        <v>284</v>
      </c>
      <c r="G89" s="1" t="s">
        <v>113</v>
      </c>
      <c r="H89" s="3">
        <v>66512</v>
      </c>
      <c r="I89" s="1">
        <f>SUM(D89,E89,F89)</f>
        <v>567</v>
      </c>
    </row>
    <row r="90" spans="1:9" hidden="1" x14ac:dyDescent="0.3">
      <c r="A90" s="2" t="s">
        <v>45</v>
      </c>
      <c r="B90" s="1" t="s">
        <v>30</v>
      </c>
      <c r="C90" s="1" t="s">
        <v>27</v>
      </c>
      <c r="D90" s="1">
        <v>236</v>
      </c>
      <c r="E90" s="1">
        <v>145</v>
      </c>
      <c r="F90" s="1">
        <v>751</v>
      </c>
      <c r="G90" s="1" t="s">
        <v>114</v>
      </c>
      <c r="H90" s="3">
        <v>61548</v>
      </c>
      <c r="I90" s="1">
        <f>SUM(D90,E90,F90)</f>
        <v>1132</v>
      </c>
    </row>
    <row r="91" spans="1:9" hidden="1" x14ac:dyDescent="0.3">
      <c r="A91" s="2" t="s">
        <v>23</v>
      </c>
      <c r="B91" s="1" t="s">
        <v>20</v>
      </c>
      <c r="C91" s="1" t="s">
        <v>21</v>
      </c>
      <c r="D91" s="1">
        <v>319</v>
      </c>
      <c r="E91" s="1">
        <v>41</v>
      </c>
      <c r="F91" s="1">
        <v>500</v>
      </c>
      <c r="G91" s="1" t="s">
        <v>115</v>
      </c>
      <c r="H91" s="3">
        <v>37323</v>
      </c>
      <c r="I91" s="1">
        <f>SUM(D91,E91,F91)</f>
        <v>860</v>
      </c>
    </row>
    <row r="92" spans="1:9" hidden="1" x14ac:dyDescent="0.3">
      <c r="A92" s="2" t="s">
        <v>29</v>
      </c>
      <c r="B92" s="1" t="s">
        <v>20</v>
      </c>
      <c r="C92" s="1" t="s">
        <v>27</v>
      </c>
      <c r="D92" s="1">
        <v>248</v>
      </c>
      <c r="E92" s="1">
        <v>196</v>
      </c>
      <c r="F92" s="1">
        <v>636</v>
      </c>
      <c r="G92" s="1" t="s">
        <v>54</v>
      </c>
      <c r="H92" s="3">
        <v>63251</v>
      </c>
      <c r="I92" s="1">
        <f>SUM(D92,E92,F92)</f>
        <v>1080</v>
      </c>
    </row>
    <row r="93" spans="1:9" hidden="1" x14ac:dyDescent="0.3">
      <c r="A93" s="2" t="s">
        <v>16</v>
      </c>
      <c r="B93" s="1" t="s">
        <v>24</v>
      </c>
      <c r="C93" s="1" t="s">
        <v>14</v>
      </c>
      <c r="D93" s="1">
        <v>314</v>
      </c>
      <c r="E93" s="1">
        <v>191</v>
      </c>
      <c r="F93" s="1">
        <v>682</v>
      </c>
      <c r="G93" s="1" t="s">
        <v>69</v>
      </c>
      <c r="H93" s="3">
        <v>11283</v>
      </c>
      <c r="I93" s="1">
        <f>SUM(D93,E93,F93)</f>
        <v>1187</v>
      </c>
    </row>
    <row r="94" spans="1:9" hidden="1" x14ac:dyDescent="0.3">
      <c r="A94" s="2" t="s">
        <v>35</v>
      </c>
      <c r="B94" s="1" t="s">
        <v>30</v>
      </c>
      <c r="C94" s="1" t="s">
        <v>14</v>
      </c>
      <c r="D94" s="1">
        <v>434</v>
      </c>
      <c r="E94" s="1">
        <v>125</v>
      </c>
      <c r="F94" s="1">
        <v>697</v>
      </c>
      <c r="G94" s="1" t="s">
        <v>116</v>
      </c>
      <c r="H94" s="3">
        <v>37539</v>
      </c>
      <c r="I94" s="1">
        <f>SUM(D94,E94,F94)</f>
        <v>1256</v>
      </c>
    </row>
    <row r="95" spans="1:9" hidden="1" x14ac:dyDescent="0.3">
      <c r="A95" s="2" t="s">
        <v>43</v>
      </c>
      <c r="B95" s="1" t="s">
        <v>24</v>
      </c>
      <c r="C95" s="1" t="s">
        <v>27</v>
      </c>
      <c r="D95" s="1">
        <v>73</v>
      </c>
      <c r="E95" s="1">
        <v>138</v>
      </c>
      <c r="F95" s="1">
        <v>590</v>
      </c>
      <c r="G95" s="1" t="s">
        <v>59</v>
      </c>
      <c r="H95" s="3">
        <v>52454</v>
      </c>
      <c r="I95" s="1">
        <f>SUM(D95,E95,F95)</f>
        <v>801</v>
      </c>
    </row>
    <row r="96" spans="1:9" hidden="1" x14ac:dyDescent="0.3">
      <c r="A96" s="2" t="s">
        <v>12</v>
      </c>
      <c r="B96" s="1" t="s">
        <v>20</v>
      </c>
      <c r="C96" s="1" t="s">
        <v>14</v>
      </c>
      <c r="D96" s="1">
        <v>408</v>
      </c>
      <c r="E96" s="1">
        <v>87</v>
      </c>
      <c r="F96" s="1">
        <v>338</v>
      </c>
      <c r="G96" s="1" t="s">
        <v>82</v>
      </c>
      <c r="H96" s="3">
        <v>96408</v>
      </c>
      <c r="I96" s="1">
        <f>SUM(D96,E96,F96)</f>
        <v>833</v>
      </c>
    </row>
    <row r="97" spans="1:9" hidden="1" x14ac:dyDescent="0.3">
      <c r="A97" s="2" t="s">
        <v>19</v>
      </c>
      <c r="B97" s="1" t="s">
        <v>26</v>
      </c>
      <c r="C97" s="1" t="s">
        <v>27</v>
      </c>
      <c r="D97" s="1">
        <v>196</v>
      </c>
      <c r="E97" s="1">
        <v>187</v>
      </c>
      <c r="F97" s="1">
        <v>436</v>
      </c>
      <c r="G97" s="1" t="s">
        <v>117</v>
      </c>
      <c r="H97" s="3">
        <v>91424</v>
      </c>
      <c r="I97" s="1">
        <f>SUM(D97,E97,F97)</f>
        <v>819</v>
      </c>
    </row>
    <row r="98" spans="1:9" x14ac:dyDescent="0.3">
      <c r="A98" s="2" t="s">
        <v>48</v>
      </c>
      <c r="B98" s="1" t="s">
        <v>17</v>
      </c>
      <c r="C98" s="1" t="s">
        <v>21</v>
      </c>
      <c r="D98" s="1">
        <v>402</v>
      </c>
      <c r="E98" s="1">
        <v>77</v>
      </c>
      <c r="F98" s="1">
        <v>308</v>
      </c>
      <c r="G98" s="1" t="s">
        <v>73</v>
      </c>
      <c r="H98" s="3">
        <v>56577</v>
      </c>
      <c r="I98" s="1">
        <f>SUM(D98,E98,F98)</f>
        <v>787</v>
      </c>
    </row>
    <row r="99" spans="1:9" hidden="1" x14ac:dyDescent="0.3">
      <c r="A99" s="2" t="s">
        <v>12</v>
      </c>
      <c r="B99" s="1" t="s">
        <v>24</v>
      </c>
      <c r="C99" s="1" t="s">
        <v>14</v>
      </c>
      <c r="D99" s="1">
        <v>184</v>
      </c>
      <c r="E99" s="1">
        <v>170</v>
      </c>
      <c r="F99" s="1">
        <v>741</v>
      </c>
      <c r="G99" s="1" t="s">
        <v>118</v>
      </c>
      <c r="H99" s="3">
        <v>67986</v>
      </c>
      <c r="I99" s="1">
        <f>SUM(D99,E99,F99)</f>
        <v>1095</v>
      </c>
    </row>
    <row r="100" spans="1:9" hidden="1" x14ac:dyDescent="0.3">
      <c r="A100" s="2" t="s">
        <v>43</v>
      </c>
      <c r="B100" s="1" t="s">
        <v>17</v>
      </c>
      <c r="C100" s="1" t="s">
        <v>10</v>
      </c>
      <c r="D100" s="1">
        <v>431</v>
      </c>
      <c r="E100" s="1">
        <v>46</v>
      </c>
      <c r="F100" s="1">
        <v>522</v>
      </c>
      <c r="G100" s="1" t="s">
        <v>119</v>
      </c>
      <c r="H100" s="3">
        <v>13751</v>
      </c>
      <c r="I100" s="1">
        <f>SUM(D100,E100,F100)</f>
        <v>999</v>
      </c>
    </row>
    <row r="101" spans="1:9" hidden="1" x14ac:dyDescent="0.3">
      <c r="A101" s="2" t="s">
        <v>16</v>
      </c>
      <c r="B101" s="1" t="s">
        <v>39</v>
      </c>
      <c r="C101" s="1" t="s">
        <v>14</v>
      </c>
      <c r="D101" s="1">
        <v>123</v>
      </c>
      <c r="E101" s="1">
        <v>200</v>
      </c>
      <c r="F101" s="1">
        <v>658</v>
      </c>
      <c r="G101" s="1" t="s">
        <v>86</v>
      </c>
      <c r="H101" s="3">
        <v>93681</v>
      </c>
      <c r="I101" s="1">
        <f>SUM(D101,E101,F101)</f>
        <v>981</v>
      </c>
    </row>
    <row r="102" spans="1:9" hidden="1" x14ac:dyDescent="0.3">
      <c r="A102" s="2" t="s">
        <v>35</v>
      </c>
      <c r="B102" s="1" t="s">
        <v>30</v>
      </c>
      <c r="C102" s="1" t="s">
        <v>10</v>
      </c>
      <c r="D102" s="1">
        <v>65</v>
      </c>
      <c r="E102" s="1">
        <v>137</v>
      </c>
      <c r="F102" s="1">
        <v>292</v>
      </c>
      <c r="G102" s="1" t="s">
        <v>120</v>
      </c>
      <c r="H102" s="3">
        <v>94853</v>
      </c>
      <c r="I102" s="1">
        <f>SUM(D102,E102,F102)</f>
        <v>494</v>
      </c>
    </row>
    <row r="103" spans="1:9" hidden="1" x14ac:dyDescent="0.3">
      <c r="A103" s="2" t="s">
        <v>43</v>
      </c>
      <c r="B103" s="1" t="s">
        <v>13</v>
      </c>
      <c r="C103" s="1" t="s">
        <v>21</v>
      </c>
      <c r="D103" s="1">
        <v>328</v>
      </c>
      <c r="E103" s="1">
        <v>37</v>
      </c>
      <c r="F103" s="1">
        <v>607</v>
      </c>
      <c r="G103" s="1" t="s">
        <v>121</v>
      </c>
      <c r="H103" s="3">
        <v>71842</v>
      </c>
      <c r="I103" s="1">
        <f>SUM(D103,E103,F103)</f>
        <v>972</v>
      </c>
    </row>
    <row r="104" spans="1:9" hidden="1" x14ac:dyDescent="0.3">
      <c r="A104" s="2" t="s">
        <v>23</v>
      </c>
      <c r="B104" s="1" t="s">
        <v>24</v>
      </c>
      <c r="C104" s="1" t="s">
        <v>27</v>
      </c>
      <c r="D104" s="1">
        <v>187</v>
      </c>
      <c r="E104" s="1">
        <v>67</v>
      </c>
      <c r="F104" s="1">
        <v>400</v>
      </c>
      <c r="G104" s="1" t="s">
        <v>49</v>
      </c>
      <c r="H104" s="3">
        <v>64239</v>
      </c>
      <c r="I104" s="1">
        <f>SUM(D104,E104,F104)</f>
        <v>654</v>
      </c>
    </row>
    <row r="105" spans="1:9" hidden="1" x14ac:dyDescent="0.3">
      <c r="A105" s="2" t="s">
        <v>48</v>
      </c>
      <c r="B105" s="1" t="s">
        <v>24</v>
      </c>
      <c r="C105" s="1" t="s">
        <v>21</v>
      </c>
      <c r="D105" s="1">
        <v>187</v>
      </c>
      <c r="E105" s="1">
        <v>65</v>
      </c>
      <c r="F105" s="1">
        <v>508</v>
      </c>
      <c r="G105" s="1" t="s">
        <v>122</v>
      </c>
      <c r="H105" s="3">
        <v>44852</v>
      </c>
      <c r="I105" s="1">
        <f>SUM(D105,E105,F105)</f>
        <v>760</v>
      </c>
    </row>
    <row r="106" spans="1:9" hidden="1" x14ac:dyDescent="0.3">
      <c r="A106" s="2" t="s">
        <v>12</v>
      </c>
      <c r="B106" s="1" t="s">
        <v>26</v>
      </c>
      <c r="C106" s="1" t="s">
        <v>27</v>
      </c>
      <c r="D106" s="1">
        <v>249</v>
      </c>
      <c r="E106" s="1">
        <v>44</v>
      </c>
      <c r="F106" s="1">
        <v>180</v>
      </c>
      <c r="G106" s="1" t="s">
        <v>123</v>
      </c>
      <c r="H106" s="3">
        <v>36556</v>
      </c>
      <c r="I106" s="1">
        <f>SUM(D106,E106,F106)</f>
        <v>473</v>
      </c>
    </row>
    <row r="107" spans="1:9" hidden="1" x14ac:dyDescent="0.3">
      <c r="A107" s="2" t="s">
        <v>16</v>
      </c>
      <c r="B107" s="1" t="s">
        <v>24</v>
      </c>
      <c r="C107" s="1" t="s">
        <v>27</v>
      </c>
      <c r="D107" s="1">
        <v>52</v>
      </c>
      <c r="E107" s="1">
        <v>22</v>
      </c>
      <c r="F107" s="1">
        <v>292</v>
      </c>
      <c r="G107" s="1" t="s">
        <v>124</v>
      </c>
      <c r="H107" s="3">
        <v>25393</v>
      </c>
      <c r="I107" s="1">
        <f>SUM(D107,E107,F107)</f>
        <v>366</v>
      </c>
    </row>
    <row r="108" spans="1:9" hidden="1" x14ac:dyDescent="0.3">
      <c r="A108" s="2" t="s">
        <v>64</v>
      </c>
      <c r="B108" s="1" t="s">
        <v>20</v>
      </c>
      <c r="C108" s="1" t="s">
        <v>14</v>
      </c>
      <c r="D108" s="1">
        <v>312</v>
      </c>
      <c r="E108" s="1">
        <v>22</v>
      </c>
      <c r="F108" s="1">
        <v>383</v>
      </c>
      <c r="G108" s="1" t="s">
        <v>125</v>
      </c>
      <c r="H108" s="3">
        <v>60245</v>
      </c>
      <c r="I108" s="1">
        <f>SUM(D108,E108,F108)</f>
        <v>717</v>
      </c>
    </row>
    <row r="109" spans="1:9" hidden="1" x14ac:dyDescent="0.3">
      <c r="A109" s="2" t="s">
        <v>16</v>
      </c>
      <c r="B109" s="1" t="s">
        <v>39</v>
      </c>
      <c r="C109" s="1" t="s">
        <v>14</v>
      </c>
      <c r="D109" s="1">
        <v>478</v>
      </c>
      <c r="E109" s="1">
        <v>20</v>
      </c>
      <c r="F109" s="1">
        <v>316</v>
      </c>
      <c r="G109" s="1" t="s">
        <v>126</v>
      </c>
      <c r="H109" s="3">
        <v>44332</v>
      </c>
      <c r="I109" s="1">
        <f>SUM(D109,E109,F109)</f>
        <v>814</v>
      </c>
    </row>
    <row r="110" spans="1:9" hidden="1" x14ac:dyDescent="0.3">
      <c r="A110" s="2" t="s">
        <v>43</v>
      </c>
      <c r="B110" s="1" t="s">
        <v>13</v>
      </c>
      <c r="C110" s="1" t="s">
        <v>10</v>
      </c>
      <c r="D110" s="1">
        <v>88</v>
      </c>
      <c r="E110" s="1">
        <v>52</v>
      </c>
      <c r="F110" s="1">
        <v>696</v>
      </c>
      <c r="G110" s="1" t="s">
        <v>92</v>
      </c>
      <c r="H110" s="3">
        <v>51527</v>
      </c>
      <c r="I110" s="1">
        <f>SUM(D110,E110,F110)</f>
        <v>836</v>
      </c>
    </row>
    <row r="111" spans="1:9" hidden="1" x14ac:dyDescent="0.3">
      <c r="A111" s="2" t="s">
        <v>41</v>
      </c>
      <c r="B111" s="1" t="s">
        <v>17</v>
      </c>
      <c r="C111" s="1" t="s">
        <v>14</v>
      </c>
      <c r="D111" s="1">
        <v>397</v>
      </c>
      <c r="E111" s="1">
        <v>75</v>
      </c>
      <c r="F111" s="1">
        <v>105</v>
      </c>
      <c r="G111" s="1" t="s">
        <v>127</v>
      </c>
      <c r="H111" s="3">
        <v>64174</v>
      </c>
      <c r="I111" s="1">
        <f>SUM(D111,E111,F111)</f>
        <v>577</v>
      </c>
    </row>
    <row r="112" spans="1:9" hidden="1" x14ac:dyDescent="0.3">
      <c r="A112" s="2" t="s">
        <v>64</v>
      </c>
      <c r="B112" s="1" t="s">
        <v>30</v>
      </c>
      <c r="C112" s="1" t="s">
        <v>21</v>
      </c>
      <c r="D112" s="1">
        <v>488</v>
      </c>
      <c r="E112" s="1">
        <v>128</v>
      </c>
      <c r="F112" s="1">
        <v>369</v>
      </c>
      <c r="G112" s="1" t="s">
        <v>98</v>
      </c>
      <c r="H112" s="3">
        <v>88011</v>
      </c>
      <c r="I112" s="1">
        <f>SUM(D112,E112,F112)</f>
        <v>985</v>
      </c>
    </row>
    <row r="113" spans="1:9" hidden="1" x14ac:dyDescent="0.3">
      <c r="A113" s="2" t="s">
        <v>43</v>
      </c>
      <c r="B113" s="1" t="s">
        <v>17</v>
      </c>
      <c r="C113" s="1" t="s">
        <v>27</v>
      </c>
      <c r="D113" s="1">
        <v>265</v>
      </c>
      <c r="E113" s="1">
        <v>191</v>
      </c>
      <c r="F113" s="1">
        <v>489</v>
      </c>
      <c r="G113" s="1" t="s">
        <v>128</v>
      </c>
      <c r="H113" s="3">
        <v>74003</v>
      </c>
      <c r="I113" s="1">
        <f>SUM(D113,E113,F113)</f>
        <v>945</v>
      </c>
    </row>
    <row r="114" spans="1:9" hidden="1" x14ac:dyDescent="0.3">
      <c r="A114" s="2" t="s">
        <v>23</v>
      </c>
      <c r="B114" s="1" t="s">
        <v>13</v>
      </c>
      <c r="C114" s="1" t="s">
        <v>14</v>
      </c>
      <c r="D114" s="1">
        <v>437</v>
      </c>
      <c r="E114" s="1">
        <v>132</v>
      </c>
      <c r="F114" s="1">
        <v>686</v>
      </c>
      <c r="G114" s="1" t="s">
        <v>129</v>
      </c>
      <c r="H114" s="3">
        <v>97387</v>
      </c>
      <c r="I114" s="1">
        <f>SUM(D114,E114,F114)</f>
        <v>1255</v>
      </c>
    </row>
    <row r="115" spans="1:9" hidden="1" x14ac:dyDescent="0.3">
      <c r="A115" s="2" t="s">
        <v>29</v>
      </c>
      <c r="B115" s="1" t="s">
        <v>24</v>
      </c>
      <c r="C115" s="1" t="s">
        <v>27</v>
      </c>
      <c r="D115" s="1">
        <v>357</v>
      </c>
      <c r="E115" s="1">
        <v>200</v>
      </c>
      <c r="F115" s="1">
        <v>216</v>
      </c>
      <c r="G115" s="1" t="s">
        <v>130</v>
      </c>
      <c r="H115" s="3">
        <v>66450</v>
      </c>
      <c r="I115" s="1">
        <f>SUM(D115,E115,F115)</f>
        <v>773</v>
      </c>
    </row>
    <row r="116" spans="1:9" hidden="1" x14ac:dyDescent="0.3">
      <c r="A116" s="2" t="s">
        <v>16</v>
      </c>
      <c r="B116" s="1" t="s">
        <v>17</v>
      </c>
      <c r="C116" s="1" t="s">
        <v>27</v>
      </c>
      <c r="D116" s="1">
        <v>145</v>
      </c>
      <c r="E116" s="1">
        <v>33</v>
      </c>
      <c r="F116" s="1">
        <v>299</v>
      </c>
      <c r="G116" s="1" t="s">
        <v>106</v>
      </c>
      <c r="H116" s="3">
        <v>97412</v>
      </c>
      <c r="I116" s="1">
        <f>SUM(D116,E116,F116)</f>
        <v>477</v>
      </c>
    </row>
    <row r="117" spans="1:9" hidden="1" x14ac:dyDescent="0.3">
      <c r="A117" s="2" t="s">
        <v>12</v>
      </c>
      <c r="B117" s="1" t="s">
        <v>39</v>
      </c>
      <c r="C117" s="1" t="s">
        <v>10</v>
      </c>
      <c r="D117" s="1">
        <v>451</v>
      </c>
      <c r="E117" s="1">
        <v>149</v>
      </c>
      <c r="F117" s="1">
        <v>349</v>
      </c>
      <c r="G117" s="1" t="s">
        <v>69</v>
      </c>
      <c r="H117" s="3">
        <v>27295</v>
      </c>
      <c r="I117" s="1">
        <f>SUM(D117,E117,F117)</f>
        <v>949</v>
      </c>
    </row>
    <row r="118" spans="1:9" hidden="1" x14ac:dyDescent="0.3">
      <c r="A118" s="2" t="s">
        <v>19</v>
      </c>
      <c r="B118" s="1" t="s">
        <v>20</v>
      </c>
      <c r="C118" s="1" t="s">
        <v>21</v>
      </c>
      <c r="D118" s="1">
        <v>229</v>
      </c>
      <c r="E118" s="1">
        <v>60</v>
      </c>
      <c r="F118" s="1">
        <v>298</v>
      </c>
      <c r="G118" s="1" t="s">
        <v>131</v>
      </c>
      <c r="H118" s="3">
        <v>74402</v>
      </c>
      <c r="I118" s="1">
        <f>SUM(D118,E118,F118)</f>
        <v>587</v>
      </c>
    </row>
    <row r="119" spans="1:9" hidden="1" x14ac:dyDescent="0.3">
      <c r="A119" s="2" t="s">
        <v>35</v>
      </c>
      <c r="B119" s="1" t="s">
        <v>9</v>
      </c>
      <c r="C119" s="1" t="s">
        <v>14</v>
      </c>
      <c r="D119" s="1">
        <v>424</v>
      </c>
      <c r="E119" s="1">
        <v>28</v>
      </c>
      <c r="F119" s="1">
        <v>380</v>
      </c>
      <c r="G119" s="1" t="s">
        <v>132</v>
      </c>
      <c r="H119" s="3">
        <v>99554</v>
      </c>
      <c r="I119" s="1">
        <f>SUM(D119,E119,F119)</f>
        <v>832</v>
      </c>
    </row>
    <row r="120" spans="1:9" hidden="1" x14ac:dyDescent="0.3">
      <c r="A120" s="2" t="s">
        <v>43</v>
      </c>
      <c r="B120" s="1" t="s">
        <v>24</v>
      </c>
      <c r="C120" s="1" t="s">
        <v>27</v>
      </c>
      <c r="D120" s="1">
        <v>195</v>
      </c>
      <c r="E120" s="1">
        <v>178</v>
      </c>
      <c r="F120" s="1">
        <v>510</v>
      </c>
      <c r="G120" s="1" t="s">
        <v>133</v>
      </c>
      <c r="H120" s="3">
        <v>78543</v>
      </c>
      <c r="I120" s="1">
        <f>SUM(D120,E120,F120)</f>
        <v>883</v>
      </c>
    </row>
    <row r="121" spans="1:9" hidden="1" x14ac:dyDescent="0.3">
      <c r="A121" s="2" t="s">
        <v>19</v>
      </c>
      <c r="B121" s="1" t="s">
        <v>20</v>
      </c>
      <c r="C121" s="1" t="s">
        <v>14</v>
      </c>
      <c r="D121" s="1">
        <v>223</v>
      </c>
      <c r="E121" s="1">
        <v>170</v>
      </c>
      <c r="F121" s="1">
        <v>441</v>
      </c>
      <c r="G121" s="1" t="s">
        <v>134</v>
      </c>
      <c r="H121" s="3">
        <v>13088</v>
      </c>
      <c r="I121" s="1">
        <f>SUM(D121,E121,F121)</f>
        <v>834</v>
      </c>
    </row>
    <row r="122" spans="1:9" hidden="1" x14ac:dyDescent="0.3">
      <c r="A122" s="7" t="s">
        <v>19</v>
      </c>
      <c r="B122" s="8" t="s">
        <v>30</v>
      </c>
      <c r="C122" s="8" t="s">
        <v>21</v>
      </c>
      <c r="D122" s="8">
        <v>217</v>
      </c>
      <c r="E122" s="8">
        <v>33</v>
      </c>
      <c r="F122" s="8">
        <v>165</v>
      </c>
      <c r="G122" s="8" t="s">
        <v>135</v>
      </c>
      <c r="H122" s="9">
        <v>83854</v>
      </c>
      <c r="I122" s="8">
        <f>SUM(D122,E122,F122)</f>
        <v>415</v>
      </c>
    </row>
    <row r="123" spans="1:9" x14ac:dyDescent="0.3">
      <c r="A123" s="7"/>
      <c r="B123" s="8"/>
      <c r="C123" s="8"/>
      <c r="D123" s="8" t="s">
        <v>137</v>
      </c>
      <c r="E123" s="8">
        <f>SUM(Table2[penset])</f>
        <v>12406</v>
      </c>
      <c r="F123" s="8"/>
      <c r="G123" s="8"/>
      <c r="H123" s="9"/>
      <c r="I123" s="11"/>
    </row>
    <row r="130" spans="3:3" x14ac:dyDescent="0.3">
      <c r="C130">
        <f>SUM(Table2[pen])</f>
        <v>34889</v>
      </c>
    </row>
  </sheetData>
  <pageMargins left="0.75" right="0.75" top="1" bottom="1" header="0.5" footer="0.5"/>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Faisal Sheikh</cp:lastModifiedBy>
  <dcterms:created xsi:type="dcterms:W3CDTF">2026-02-16T10:41:00Z</dcterms:created>
  <dcterms:modified xsi:type="dcterms:W3CDTF">2026-02-16T10:56:52Z</dcterms:modified>
</cp:coreProperties>
</file>