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d Faisal Sheikh\OneDrive\Desktop\MS Excel\"/>
    </mc:Choice>
  </mc:AlternateContent>
  <bookViews>
    <workbookView xWindow="0" yWindow="0" windowWidth="23040" windowHeight="10644"/>
  </bookViews>
  <sheets>
    <sheet name="orders" sheetId="1" r:id="rId1"/>
    <sheet name="analysis" sheetId="2" r:id="rId2"/>
  </sheets>
  <calcPr calcId="162913"/>
</workbook>
</file>

<file path=xl/calcChain.xml><?xml version="1.0" encoding="utf-8"?>
<calcChain xmlns="http://schemas.openxmlformats.org/spreadsheetml/2006/main">
  <c r="B17" i="2" l="1"/>
  <c r="B16" i="2"/>
  <c r="B13" i="2"/>
  <c r="B12" i="2"/>
  <c r="B4" i="2"/>
  <c r="B11" i="2"/>
  <c r="B10" i="2"/>
  <c r="B9" i="2"/>
  <c r="B6" i="2"/>
  <c r="B5" i="2"/>
  <c r="B3" i="2"/>
</calcChain>
</file>

<file path=xl/sharedStrings.xml><?xml version="1.0" encoding="utf-8"?>
<sst xmlns="http://schemas.openxmlformats.org/spreadsheetml/2006/main" count="502" uniqueCount="251">
  <si>
    <t>Order ID</t>
  </si>
  <si>
    <t>Date</t>
  </si>
  <si>
    <t>Customer</t>
  </si>
  <si>
    <t>Product Category</t>
  </si>
  <si>
    <t>Quantity</t>
  </si>
  <si>
    <t>Revenue</t>
  </si>
  <si>
    <t>ORD0001</t>
  </si>
  <si>
    <t>2024-03-31</t>
  </si>
  <si>
    <t>Lucas</t>
  </si>
  <si>
    <t>Laptop</t>
  </si>
  <si>
    <t>ORD0002</t>
  </si>
  <si>
    <t>2024-05-29</t>
  </si>
  <si>
    <t>Noah</t>
  </si>
  <si>
    <t>Tablet</t>
  </si>
  <si>
    <t>ORD0003</t>
  </si>
  <si>
    <t>2024-06-28</t>
  </si>
  <si>
    <t>Emma</t>
  </si>
  <si>
    <t>Mobile</t>
  </si>
  <si>
    <t>ORD0004</t>
  </si>
  <si>
    <t>2024-01-09</t>
  </si>
  <si>
    <t>Accessories</t>
  </si>
  <si>
    <t>ORD0005</t>
  </si>
  <si>
    <t>2024-03-06</t>
  </si>
  <si>
    <t>Alex</t>
  </si>
  <si>
    <t>ORD0006</t>
  </si>
  <si>
    <t>2024-04-08</t>
  </si>
  <si>
    <t>John</t>
  </si>
  <si>
    <t>ORD0007</t>
  </si>
  <si>
    <t>2024-06-16</t>
  </si>
  <si>
    <t>ORD0008</t>
  </si>
  <si>
    <t>2024-05-05</t>
  </si>
  <si>
    <t>Sophia</t>
  </si>
  <si>
    <t>ORD0009</t>
  </si>
  <si>
    <t>2024-04-06</t>
  </si>
  <si>
    <t>ORD0010</t>
  </si>
  <si>
    <t>2024-02-08</t>
  </si>
  <si>
    <t>ORD0011</t>
  </si>
  <si>
    <t>2024-02-15</t>
  </si>
  <si>
    <t>Liam</t>
  </si>
  <si>
    <t>ORD0012</t>
  </si>
  <si>
    <t>2024-05-25</t>
  </si>
  <si>
    <t>ORD0013</t>
  </si>
  <si>
    <t>2024-06-29</t>
  </si>
  <si>
    <t>Charlotte</t>
  </si>
  <si>
    <t>ORD0014</t>
  </si>
  <si>
    <t>2024-05-21</t>
  </si>
  <si>
    <t>Ryan</t>
  </si>
  <si>
    <t>ORD0015</t>
  </si>
  <si>
    <t>2024-04-28</t>
  </si>
  <si>
    <t>ORD0016</t>
  </si>
  <si>
    <t>2024-01-03</t>
  </si>
  <si>
    <t>Sara</t>
  </si>
  <si>
    <t>ORD0017</t>
  </si>
  <si>
    <t>2024-03-26</t>
  </si>
  <si>
    <t>ORD0018</t>
  </si>
  <si>
    <t>2024-01-18</t>
  </si>
  <si>
    <t>ORD0019</t>
  </si>
  <si>
    <t>2024-04-11</t>
  </si>
  <si>
    <t>ORD0020</t>
  </si>
  <si>
    <t>ORD0021</t>
  </si>
  <si>
    <t>2024-03-11</t>
  </si>
  <si>
    <t>ORD0022</t>
  </si>
  <si>
    <t>2024-02-12</t>
  </si>
  <si>
    <t>ORD0023</t>
  </si>
  <si>
    <t>2024-01-10</t>
  </si>
  <si>
    <t>ORD0024</t>
  </si>
  <si>
    <t>2024-04-05</t>
  </si>
  <si>
    <t>Olivia</t>
  </si>
  <si>
    <t>ORD0025</t>
  </si>
  <si>
    <t>2024-05-02</t>
  </si>
  <si>
    <t>ORD0026</t>
  </si>
  <si>
    <t>2024-05-01</t>
  </si>
  <si>
    <t>ORD0027</t>
  </si>
  <si>
    <t>2024-05-09</t>
  </si>
  <si>
    <t>Ethan</t>
  </si>
  <si>
    <t>ORD0028</t>
  </si>
  <si>
    <t>2024-04-27</t>
  </si>
  <si>
    <t>ORD0029</t>
  </si>
  <si>
    <t>2024-02-11</t>
  </si>
  <si>
    <t>ORD0030</t>
  </si>
  <si>
    <t>2024-01-08</t>
  </si>
  <si>
    <t>ORD0031</t>
  </si>
  <si>
    <t>David</t>
  </si>
  <si>
    <t>ORD0032</t>
  </si>
  <si>
    <t>2024-05-12</t>
  </si>
  <si>
    <t>ORD0033</t>
  </si>
  <si>
    <t>2024-04-12</t>
  </si>
  <si>
    <t>James</t>
  </si>
  <si>
    <t>ORD0034</t>
  </si>
  <si>
    <t>2024-05-20</t>
  </si>
  <si>
    <t>ORD0035</t>
  </si>
  <si>
    <t>2024-04-07</t>
  </si>
  <si>
    <t>ORD0036</t>
  </si>
  <si>
    <t>2024-06-19</t>
  </si>
  <si>
    <t>Amelia</t>
  </si>
  <si>
    <t>ORD0037</t>
  </si>
  <si>
    <t>2024-03-12</t>
  </si>
  <si>
    <t>ORD0038</t>
  </si>
  <si>
    <t>2024-03-22</t>
  </si>
  <si>
    <t>ORD0039</t>
  </si>
  <si>
    <t>2024-05-30</t>
  </si>
  <si>
    <t>ORD0040</t>
  </si>
  <si>
    <t>2024-01-11</t>
  </si>
  <si>
    <t>ORD0041</t>
  </si>
  <si>
    <t>2024-02-19</t>
  </si>
  <si>
    <t>ORD0042</t>
  </si>
  <si>
    <t>2024-02-14</t>
  </si>
  <si>
    <t>ORD0043</t>
  </si>
  <si>
    <t>2024-03-10</t>
  </si>
  <si>
    <t>ORD0044</t>
  </si>
  <si>
    <t>2024-06-14</t>
  </si>
  <si>
    <t>Mason</t>
  </si>
  <si>
    <t>ORD0045</t>
  </si>
  <si>
    <t>2024-04-24</t>
  </si>
  <si>
    <t>ORD0046</t>
  </si>
  <si>
    <t>2024-03-02</t>
  </si>
  <si>
    <t>ORD0047</t>
  </si>
  <si>
    <t>2024-06-06</t>
  </si>
  <si>
    <t>ORD0048</t>
  </si>
  <si>
    <t>2024-05-19</t>
  </si>
  <si>
    <t>ORD0049</t>
  </si>
  <si>
    <t>2024-06-23</t>
  </si>
  <si>
    <t>ORD0050</t>
  </si>
  <si>
    <t>2024-06-20</t>
  </si>
  <si>
    <t>ORD0051</t>
  </si>
  <si>
    <t>ORD0052</t>
  </si>
  <si>
    <t>2024-03-14</t>
  </si>
  <si>
    <t>ORD0053</t>
  </si>
  <si>
    <t>2024-03-08</t>
  </si>
  <si>
    <t>ORD0054</t>
  </si>
  <si>
    <t>ORD0055</t>
  </si>
  <si>
    <t>2024-06-11</t>
  </si>
  <si>
    <t>ORD0056</t>
  </si>
  <si>
    <t>Ava</t>
  </si>
  <si>
    <t>ORD0057</t>
  </si>
  <si>
    <t>ORD0058</t>
  </si>
  <si>
    <t>2024-01-28</t>
  </si>
  <si>
    <t>ORD0059</t>
  </si>
  <si>
    <t>2024-03-28</t>
  </si>
  <si>
    <t>ORD0060</t>
  </si>
  <si>
    <t>2024-06-18</t>
  </si>
  <si>
    <t>ORD0061</t>
  </si>
  <si>
    <t>ORD0062</t>
  </si>
  <si>
    <t>2024-03-20</t>
  </si>
  <si>
    <t>ORD0063</t>
  </si>
  <si>
    <t>ORD0064</t>
  </si>
  <si>
    <t>ORD0065</t>
  </si>
  <si>
    <t>ORD0066</t>
  </si>
  <si>
    <t>2024-02-06</t>
  </si>
  <si>
    <t>ORD0067</t>
  </si>
  <si>
    <t>2024-04-22</t>
  </si>
  <si>
    <t>ORD0068</t>
  </si>
  <si>
    <t>2024-06-15</t>
  </si>
  <si>
    <t>Logan</t>
  </si>
  <si>
    <t>ORD0069</t>
  </si>
  <si>
    <t>ORD0070</t>
  </si>
  <si>
    <t>ORD0071</t>
  </si>
  <si>
    <t>2024-03-16</t>
  </si>
  <si>
    <t>ORD0072</t>
  </si>
  <si>
    <t>ORD0073</t>
  </si>
  <si>
    <t>2024-01-27</t>
  </si>
  <si>
    <t>ORD0074</t>
  </si>
  <si>
    <t>ORD0075</t>
  </si>
  <si>
    <t>2024-03-07</t>
  </si>
  <si>
    <t>ORD0076</t>
  </si>
  <si>
    <t>2024-06-22</t>
  </si>
  <si>
    <t>Mike</t>
  </si>
  <si>
    <t>ORD0077</t>
  </si>
  <si>
    <t>2024-06-25</t>
  </si>
  <si>
    <t>ORD0078</t>
  </si>
  <si>
    <t>2024-03-25</t>
  </si>
  <si>
    <t>ORD0079</t>
  </si>
  <si>
    <t>Mia</t>
  </si>
  <si>
    <t>ORD0080</t>
  </si>
  <si>
    <t>2024-02-24</t>
  </si>
  <si>
    <t>ORD0081</t>
  </si>
  <si>
    <t>2024-04-02</t>
  </si>
  <si>
    <t>ORD0082</t>
  </si>
  <si>
    <t>2024-03-04</t>
  </si>
  <si>
    <t>ORD0083</t>
  </si>
  <si>
    <t>ORD0084</t>
  </si>
  <si>
    <t>2024-06-13</t>
  </si>
  <si>
    <t>ORD0085</t>
  </si>
  <si>
    <t>2024-01-31</t>
  </si>
  <si>
    <t>ORD0086</t>
  </si>
  <si>
    <t>2024-05-06</t>
  </si>
  <si>
    <t>ORD0087</t>
  </si>
  <si>
    <t>ORD0088</t>
  </si>
  <si>
    <t>2024-03-23</t>
  </si>
  <si>
    <t>ORD0089</t>
  </si>
  <si>
    <t>2024-04-14</t>
  </si>
  <si>
    <t>ORD0090</t>
  </si>
  <si>
    <t>2024-04-03</t>
  </si>
  <si>
    <t>ORD0091</t>
  </si>
  <si>
    <t>2024-06-17</t>
  </si>
  <si>
    <t>ORD0092</t>
  </si>
  <si>
    <t>ORD0093</t>
  </si>
  <si>
    <t>ORD0094</t>
  </si>
  <si>
    <t>2024-04-13</t>
  </si>
  <si>
    <t>ORD0095</t>
  </si>
  <si>
    <t>2024-01-02</t>
  </si>
  <si>
    <t>ORD0096</t>
  </si>
  <si>
    <t>ORD0097</t>
  </si>
  <si>
    <t>ORD0098</t>
  </si>
  <si>
    <t>2024-06-05</t>
  </si>
  <si>
    <t>ORD0099</t>
  </si>
  <si>
    <t>ORD0100</t>
  </si>
  <si>
    <t>2024-03-18</t>
  </si>
  <si>
    <t>ORD0101</t>
  </si>
  <si>
    <t>ORD0102</t>
  </si>
  <si>
    <t>ORD0103</t>
  </si>
  <si>
    <t>ORD0104</t>
  </si>
  <si>
    <t>2024-05-24</t>
  </si>
  <si>
    <t>ORD0105</t>
  </si>
  <si>
    <t>ORD0106</t>
  </si>
  <si>
    <t>2024-04-19</t>
  </si>
  <si>
    <t>ORD0107</t>
  </si>
  <si>
    <t>ORD0108</t>
  </si>
  <si>
    <t>ORD0109</t>
  </si>
  <si>
    <t>ORD0110</t>
  </si>
  <si>
    <t>2024-02-16</t>
  </si>
  <si>
    <t>ORD0111</t>
  </si>
  <si>
    <t>ORD0112</t>
  </si>
  <si>
    <t>ORD0113</t>
  </si>
  <si>
    <t>ORD0114</t>
  </si>
  <si>
    <t>2024-06-21</t>
  </si>
  <si>
    <t>ORD0115</t>
  </si>
  <si>
    <t>ORD0116</t>
  </si>
  <si>
    <t>ORD0117</t>
  </si>
  <si>
    <t>ORD0118</t>
  </si>
  <si>
    <t>2024-06-03</t>
  </si>
  <si>
    <t>ORD0119</t>
  </si>
  <si>
    <t>2024-04-09</t>
  </si>
  <si>
    <t>ORD0120</t>
  </si>
  <si>
    <t>2024-05-07</t>
  </si>
  <si>
    <t>Metric</t>
  </si>
  <si>
    <t>Formula</t>
  </si>
  <si>
    <t>Total Revenue</t>
  </si>
  <si>
    <t>Total Orders</t>
  </si>
  <si>
    <t>Average Revenue</t>
  </si>
  <si>
    <t>Total Quantity</t>
  </si>
  <si>
    <t>Laptop Revenue</t>
  </si>
  <si>
    <t>Mobile Revenue</t>
  </si>
  <si>
    <t>Tablet Revenue</t>
  </si>
  <si>
    <t>Maximum Revenue</t>
  </si>
  <si>
    <t>Minimum Revenue</t>
  </si>
  <si>
    <t>Product Category Analysis</t>
  </si>
  <si>
    <t>Add Basic Metrics</t>
  </si>
  <si>
    <t>Quantity Analysis</t>
  </si>
  <si>
    <t>Total Sold</t>
  </si>
  <si>
    <t>Average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</si>
</sst>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1"/>
  <sheetViews>
    <sheetView tabSelected="1" workbookViewId="0">
      <selection activeCell="I6" sqref="I6"/>
    </sheetView>
  </sheetViews>
  <sheetFormatPr defaultRowHeight="14.4" x14ac:dyDescent="0.3"/>
  <cols>
    <col min="2" max="2" width="10.33203125" bestFit="1" customWidth="1"/>
    <col min="4" max="4" width="15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1</v>
      </c>
      <c r="F2" s="2">
        <v>844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>
        <v>1</v>
      </c>
      <c r="F3" s="2">
        <v>508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>
        <v>4</v>
      </c>
      <c r="F4" s="2">
        <v>1635</v>
      </c>
    </row>
    <row r="5" spans="1:6" x14ac:dyDescent="0.3">
      <c r="A5" s="2" t="s">
        <v>18</v>
      </c>
      <c r="B5" s="2" t="s">
        <v>19</v>
      </c>
      <c r="C5" s="2" t="s">
        <v>8</v>
      </c>
      <c r="D5" s="2" t="s">
        <v>20</v>
      </c>
      <c r="E5" s="2">
        <v>1</v>
      </c>
      <c r="F5" s="2">
        <v>139</v>
      </c>
    </row>
    <row r="6" spans="1:6" x14ac:dyDescent="0.3">
      <c r="A6" s="2" t="s">
        <v>21</v>
      </c>
      <c r="B6" s="2" t="s">
        <v>22</v>
      </c>
      <c r="C6" s="2" t="s">
        <v>23</v>
      </c>
      <c r="D6" s="2" t="s">
        <v>9</v>
      </c>
      <c r="E6" s="2">
        <v>1</v>
      </c>
      <c r="F6" s="2">
        <v>802</v>
      </c>
    </row>
    <row r="7" spans="1:6" x14ac:dyDescent="0.3">
      <c r="A7" s="2" t="s">
        <v>24</v>
      </c>
      <c r="B7" s="2" t="s">
        <v>25</v>
      </c>
      <c r="C7" s="2" t="s">
        <v>26</v>
      </c>
      <c r="D7" s="2" t="s">
        <v>9</v>
      </c>
      <c r="E7" s="2">
        <v>5</v>
      </c>
      <c r="F7" s="2">
        <v>3996</v>
      </c>
    </row>
    <row r="8" spans="1:6" x14ac:dyDescent="0.3">
      <c r="A8" s="2" t="s">
        <v>27</v>
      </c>
      <c r="B8" s="2" t="s">
        <v>28</v>
      </c>
      <c r="C8" s="2" t="s">
        <v>26</v>
      </c>
      <c r="D8" s="2" t="s">
        <v>9</v>
      </c>
      <c r="E8" s="2">
        <v>2</v>
      </c>
      <c r="F8" s="2">
        <v>1633</v>
      </c>
    </row>
    <row r="9" spans="1:6" x14ac:dyDescent="0.3">
      <c r="A9" s="2" t="s">
        <v>29</v>
      </c>
      <c r="B9" s="2" t="s">
        <v>30</v>
      </c>
      <c r="C9" s="2" t="s">
        <v>31</v>
      </c>
      <c r="D9" s="2" t="s">
        <v>20</v>
      </c>
      <c r="E9" s="2">
        <v>5</v>
      </c>
      <c r="F9" s="2">
        <v>481</v>
      </c>
    </row>
    <row r="10" spans="1:6" x14ac:dyDescent="0.3">
      <c r="A10" s="2" t="s">
        <v>32</v>
      </c>
      <c r="B10" s="2" t="s">
        <v>33</v>
      </c>
      <c r="C10" s="2" t="s">
        <v>12</v>
      </c>
      <c r="D10" s="2" t="s">
        <v>13</v>
      </c>
      <c r="E10" s="2">
        <v>2</v>
      </c>
      <c r="F10" s="2">
        <v>1031</v>
      </c>
    </row>
    <row r="11" spans="1:6" x14ac:dyDescent="0.3">
      <c r="A11" s="2" t="s">
        <v>34</v>
      </c>
      <c r="B11" s="2" t="s">
        <v>35</v>
      </c>
      <c r="C11" s="2" t="s">
        <v>16</v>
      </c>
      <c r="D11" s="2" t="s">
        <v>17</v>
      </c>
      <c r="E11" s="2">
        <v>5</v>
      </c>
      <c r="F11" s="2">
        <v>1998</v>
      </c>
    </row>
    <row r="12" spans="1:6" x14ac:dyDescent="0.3">
      <c r="A12" s="2" t="s">
        <v>36</v>
      </c>
      <c r="B12" s="2" t="s">
        <v>37</v>
      </c>
      <c r="C12" s="2" t="s">
        <v>38</v>
      </c>
      <c r="D12" s="2" t="s">
        <v>9</v>
      </c>
      <c r="E12" s="2">
        <v>1</v>
      </c>
      <c r="F12" s="2">
        <v>754</v>
      </c>
    </row>
    <row r="13" spans="1:6" x14ac:dyDescent="0.3">
      <c r="A13" s="2" t="s">
        <v>39</v>
      </c>
      <c r="B13" s="2" t="s">
        <v>40</v>
      </c>
      <c r="C13" s="2" t="s">
        <v>16</v>
      </c>
      <c r="D13" s="2" t="s">
        <v>17</v>
      </c>
      <c r="E13" s="2">
        <v>4</v>
      </c>
      <c r="F13" s="2">
        <v>1645</v>
      </c>
    </row>
    <row r="14" spans="1:6" x14ac:dyDescent="0.3">
      <c r="A14" s="2" t="s">
        <v>41</v>
      </c>
      <c r="B14" s="2" t="s">
        <v>42</v>
      </c>
      <c r="C14" s="2" t="s">
        <v>43</v>
      </c>
      <c r="D14" s="2" t="s">
        <v>20</v>
      </c>
      <c r="E14" s="2">
        <v>4</v>
      </c>
      <c r="F14" s="2">
        <v>441</v>
      </c>
    </row>
    <row r="15" spans="1:6" x14ac:dyDescent="0.3">
      <c r="A15" s="2" t="s">
        <v>44</v>
      </c>
      <c r="B15" s="2" t="s">
        <v>45</v>
      </c>
      <c r="C15" s="2" t="s">
        <v>46</v>
      </c>
      <c r="D15" s="2" t="s">
        <v>17</v>
      </c>
      <c r="E15" s="2">
        <v>4</v>
      </c>
      <c r="F15" s="2">
        <v>1647</v>
      </c>
    </row>
    <row r="16" spans="1:6" x14ac:dyDescent="0.3">
      <c r="A16" s="2" t="s">
        <v>47</v>
      </c>
      <c r="B16" s="2" t="s">
        <v>48</v>
      </c>
      <c r="C16" s="2" t="s">
        <v>31</v>
      </c>
      <c r="D16" s="2" t="s">
        <v>13</v>
      </c>
      <c r="E16" s="2">
        <v>5</v>
      </c>
      <c r="F16" s="2">
        <v>2513</v>
      </c>
    </row>
    <row r="17" spans="1:6" x14ac:dyDescent="0.3">
      <c r="A17" s="2" t="s">
        <v>49</v>
      </c>
      <c r="B17" s="2" t="s">
        <v>50</v>
      </c>
      <c r="C17" s="2" t="s">
        <v>51</v>
      </c>
      <c r="D17" s="2" t="s">
        <v>20</v>
      </c>
      <c r="E17" s="2">
        <v>2</v>
      </c>
      <c r="F17" s="2">
        <v>230</v>
      </c>
    </row>
    <row r="18" spans="1:6" x14ac:dyDescent="0.3">
      <c r="A18" s="2" t="s">
        <v>52</v>
      </c>
      <c r="B18" s="2" t="s">
        <v>53</v>
      </c>
      <c r="C18" s="2" t="s">
        <v>8</v>
      </c>
      <c r="D18" s="2" t="s">
        <v>20</v>
      </c>
      <c r="E18" s="2">
        <v>1</v>
      </c>
      <c r="F18" s="2">
        <v>95</v>
      </c>
    </row>
    <row r="19" spans="1:6" x14ac:dyDescent="0.3">
      <c r="A19" s="2" t="s">
        <v>54</v>
      </c>
      <c r="B19" s="2" t="s">
        <v>55</v>
      </c>
      <c r="C19" s="2" t="s">
        <v>16</v>
      </c>
      <c r="D19" s="2" t="s">
        <v>13</v>
      </c>
      <c r="E19" s="2">
        <v>4</v>
      </c>
      <c r="F19" s="2">
        <v>2033</v>
      </c>
    </row>
    <row r="20" spans="1:6" x14ac:dyDescent="0.3">
      <c r="A20" s="2" t="s">
        <v>56</v>
      </c>
      <c r="B20" s="2" t="s">
        <v>57</v>
      </c>
      <c r="C20" s="2" t="s">
        <v>8</v>
      </c>
      <c r="D20" s="2" t="s">
        <v>20</v>
      </c>
      <c r="E20" s="2">
        <v>2</v>
      </c>
      <c r="F20" s="2">
        <v>204</v>
      </c>
    </row>
    <row r="21" spans="1:6" x14ac:dyDescent="0.3">
      <c r="A21" s="2" t="s">
        <v>58</v>
      </c>
      <c r="B21" s="2" t="s">
        <v>28</v>
      </c>
      <c r="C21" s="2" t="s">
        <v>8</v>
      </c>
      <c r="D21" s="2" t="s">
        <v>17</v>
      </c>
      <c r="E21" s="2">
        <v>2</v>
      </c>
      <c r="F21" s="2">
        <v>841</v>
      </c>
    </row>
    <row r="22" spans="1:6" x14ac:dyDescent="0.3">
      <c r="A22" s="2" t="s">
        <v>59</v>
      </c>
      <c r="B22" s="2" t="s">
        <v>60</v>
      </c>
      <c r="C22" s="2" t="s">
        <v>16</v>
      </c>
      <c r="D22" s="2" t="s">
        <v>13</v>
      </c>
      <c r="E22" s="2">
        <v>1</v>
      </c>
      <c r="F22" s="2">
        <v>494</v>
      </c>
    </row>
    <row r="23" spans="1:6" x14ac:dyDescent="0.3">
      <c r="A23" s="2" t="s">
        <v>61</v>
      </c>
      <c r="B23" s="2" t="s">
        <v>62</v>
      </c>
      <c r="C23" s="2" t="s">
        <v>31</v>
      </c>
      <c r="D23" s="2" t="s">
        <v>20</v>
      </c>
      <c r="E23" s="2">
        <v>4</v>
      </c>
      <c r="F23" s="2">
        <v>364</v>
      </c>
    </row>
    <row r="24" spans="1:6" x14ac:dyDescent="0.3">
      <c r="A24" s="2" t="s">
        <v>63</v>
      </c>
      <c r="B24" s="2" t="s">
        <v>64</v>
      </c>
      <c r="C24" s="2" t="s">
        <v>43</v>
      </c>
      <c r="D24" s="2" t="s">
        <v>9</v>
      </c>
      <c r="E24" s="2">
        <v>5</v>
      </c>
      <c r="F24" s="2">
        <v>3978</v>
      </c>
    </row>
    <row r="25" spans="1:6" x14ac:dyDescent="0.3">
      <c r="A25" s="2" t="s">
        <v>65</v>
      </c>
      <c r="B25" s="2" t="s">
        <v>66</v>
      </c>
      <c r="C25" s="2" t="s">
        <v>67</v>
      </c>
      <c r="D25" s="2" t="s">
        <v>9</v>
      </c>
      <c r="E25" s="2">
        <v>2</v>
      </c>
      <c r="F25" s="2">
        <v>1565</v>
      </c>
    </row>
    <row r="26" spans="1:6" x14ac:dyDescent="0.3">
      <c r="A26" s="2" t="s">
        <v>68</v>
      </c>
      <c r="B26" s="2" t="s">
        <v>69</v>
      </c>
      <c r="C26" s="2" t="s">
        <v>51</v>
      </c>
      <c r="D26" s="2" t="s">
        <v>17</v>
      </c>
      <c r="E26" s="2">
        <v>5</v>
      </c>
      <c r="F26" s="2">
        <v>2040</v>
      </c>
    </row>
    <row r="27" spans="1:6" x14ac:dyDescent="0.3">
      <c r="A27" s="2" t="s">
        <v>70</v>
      </c>
      <c r="B27" s="2" t="s">
        <v>71</v>
      </c>
      <c r="C27" s="2" t="s">
        <v>12</v>
      </c>
      <c r="D27" s="2" t="s">
        <v>13</v>
      </c>
      <c r="E27" s="2">
        <v>5</v>
      </c>
      <c r="F27" s="2">
        <v>2495</v>
      </c>
    </row>
    <row r="28" spans="1:6" x14ac:dyDescent="0.3">
      <c r="A28" s="2" t="s">
        <v>72</v>
      </c>
      <c r="B28" s="2" t="s">
        <v>73</v>
      </c>
      <c r="C28" s="2" t="s">
        <v>74</v>
      </c>
      <c r="D28" s="2" t="s">
        <v>17</v>
      </c>
      <c r="E28" s="2">
        <v>3</v>
      </c>
      <c r="F28" s="2">
        <v>1180</v>
      </c>
    </row>
    <row r="29" spans="1:6" x14ac:dyDescent="0.3">
      <c r="A29" s="2" t="s">
        <v>75</v>
      </c>
      <c r="B29" s="2" t="s">
        <v>76</v>
      </c>
      <c r="C29" s="2" t="s">
        <v>43</v>
      </c>
      <c r="D29" s="2" t="s">
        <v>13</v>
      </c>
      <c r="E29" s="2">
        <v>5</v>
      </c>
      <c r="F29" s="2">
        <v>2452</v>
      </c>
    </row>
    <row r="30" spans="1:6" x14ac:dyDescent="0.3">
      <c r="A30" s="2" t="s">
        <v>77</v>
      </c>
      <c r="B30" s="2" t="s">
        <v>78</v>
      </c>
      <c r="C30" s="2" t="s">
        <v>43</v>
      </c>
      <c r="D30" s="2" t="s">
        <v>9</v>
      </c>
      <c r="E30" s="2">
        <v>4</v>
      </c>
      <c r="F30" s="2">
        <v>3250</v>
      </c>
    </row>
    <row r="31" spans="1:6" x14ac:dyDescent="0.3">
      <c r="A31" s="2" t="s">
        <v>79</v>
      </c>
      <c r="B31" s="2" t="s">
        <v>80</v>
      </c>
      <c r="C31" s="2" t="s">
        <v>16</v>
      </c>
      <c r="D31" s="2" t="s">
        <v>9</v>
      </c>
      <c r="E31" s="2">
        <v>5</v>
      </c>
      <c r="F31" s="2">
        <v>4038</v>
      </c>
    </row>
    <row r="32" spans="1:6" x14ac:dyDescent="0.3">
      <c r="A32" s="2" t="s">
        <v>81</v>
      </c>
      <c r="B32" s="2" t="s">
        <v>37</v>
      </c>
      <c r="C32" s="2" t="s">
        <v>82</v>
      </c>
      <c r="D32" s="2" t="s">
        <v>13</v>
      </c>
      <c r="E32" s="2">
        <v>2</v>
      </c>
      <c r="F32" s="2">
        <v>988</v>
      </c>
    </row>
    <row r="33" spans="1:6" x14ac:dyDescent="0.3">
      <c r="A33" s="2" t="s">
        <v>83</v>
      </c>
      <c r="B33" s="2" t="s">
        <v>84</v>
      </c>
      <c r="C33" s="2" t="s">
        <v>43</v>
      </c>
      <c r="D33" s="2" t="s">
        <v>17</v>
      </c>
      <c r="E33" s="2">
        <v>1</v>
      </c>
      <c r="F33" s="2">
        <v>421</v>
      </c>
    </row>
    <row r="34" spans="1:6" x14ac:dyDescent="0.3">
      <c r="A34" s="2" t="s">
        <v>85</v>
      </c>
      <c r="B34" s="2" t="s">
        <v>86</v>
      </c>
      <c r="C34" s="2" t="s">
        <v>87</v>
      </c>
      <c r="D34" s="2" t="s">
        <v>20</v>
      </c>
      <c r="E34" s="2">
        <v>3</v>
      </c>
      <c r="F34" s="2">
        <v>304</v>
      </c>
    </row>
    <row r="35" spans="1:6" x14ac:dyDescent="0.3">
      <c r="A35" s="2" t="s">
        <v>88</v>
      </c>
      <c r="B35" s="2" t="s">
        <v>89</v>
      </c>
      <c r="C35" s="2" t="s">
        <v>51</v>
      </c>
      <c r="D35" s="2" t="s">
        <v>20</v>
      </c>
      <c r="E35" s="2">
        <v>3</v>
      </c>
      <c r="F35" s="2">
        <v>330</v>
      </c>
    </row>
    <row r="36" spans="1:6" x14ac:dyDescent="0.3">
      <c r="A36" s="2" t="s">
        <v>90</v>
      </c>
      <c r="B36" s="2" t="s">
        <v>91</v>
      </c>
      <c r="C36" s="2" t="s">
        <v>87</v>
      </c>
      <c r="D36" s="2" t="s">
        <v>20</v>
      </c>
      <c r="E36" s="2">
        <v>3</v>
      </c>
      <c r="F36" s="2">
        <v>257</v>
      </c>
    </row>
    <row r="37" spans="1:6" x14ac:dyDescent="0.3">
      <c r="A37" s="2" t="s">
        <v>92</v>
      </c>
      <c r="B37" s="2" t="s">
        <v>93</v>
      </c>
      <c r="C37" s="2" t="s">
        <v>94</v>
      </c>
      <c r="D37" s="2" t="s">
        <v>9</v>
      </c>
      <c r="E37" s="2">
        <v>1</v>
      </c>
      <c r="F37" s="2">
        <v>846</v>
      </c>
    </row>
    <row r="38" spans="1:6" x14ac:dyDescent="0.3">
      <c r="A38" s="2" t="s">
        <v>95</v>
      </c>
      <c r="B38" s="2" t="s">
        <v>96</v>
      </c>
      <c r="C38" s="2" t="s">
        <v>46</v>
      </c>
      <c r="D38" s="2" t="s">
        <v>9</v>
      </c>
      <c r="E38" s="2">
        <v>3</v>
      </c>
      <c r="F38" s="2">
        <v>2435</v>
      </c>
    </row>
    <row r="39" spans="1:6" x14ac:dyDescent="0.3">
      <c r="A39" s="2" t="s">
        <v>97</v>
      </c>
      <c r="B39" s="2" t="s">
        <v>98</v>
      </c>
      <c r="C39" s="2" t="s">
        <v>26</v>
      </c>
      <c r="D39" s="2" t="s">
        <v>13</v>
      </c>
      <c r="E39" s="2">
        <v>4</v>
      </c>
      <c r="F39" s="2">
        <v>2044</v>
      </c>
    </row>
    <row r="40" spans="1:6" x14ac:dyDescent="0.3">
      <c r="A40" s="2" t="s">
        <v>99</v>
      </c>
      <c r="B40" s="2" t="s">
        <v>100</v>
      </c>
      <c r="C40" s="2" t="s">
        <v>31</v>
      </c>
      <c r="D40" s="2" t="s">
        <v>9</v>
      </c>
      <c r="E40" s="2">
        <v>4</v>
      </c>
      <c r="F40" s="2">
        <v>3178</v>
      </c>
    </row>
    <row r="41" spans="1:6" x14ac:dyDescent="0.3">
      <c r="A41" s="2" t="s">
        <v>101</v>
      </c>
      <c r="B41" s="2" t="s">
        <v>102</v>
      </c>
      <c r="C41" s="2" t="s">
        <v>23</v>
      </c>
      <c r="D41" s="2" t="s">
        <v>9</v>
      </c>
      <c r="E41" s="2">
        <v>2</v>
      </c>
      <c r="F41" s="2">
        <v>1552</v>
      </c>
    </row>
    <row r="42" spans="1:6" x14ac:dyDescent="0.3">
      <c r="A42" s="2" t="s">
        <v>103</v>
      </c>
      <c r="B42" s="2" t="s">
        <v>104</v>
      </c>
      <c r="C42" s="2" t="s">
        <v>26</v>
      </c>
      <c r="D42" s="2" t="s">
        <v>13</v>
      </c>
      <c r="E42" s="2">
        <v>5</v>
      </c>
      <c r="F42" s="2">
        <v>2530</v>
      </c>
    </row>
    <row r="43" spans="1:6" x14ac:dyDescent="0.3">
      <c r="A43" s="2" t="s">
        <v>105</v>
      </c>
      <c r="B43" s="2" t="s">
        <v>106</v>
      </c>
      <c r="C43" s="2" t="s">
        <v>51</v>
      </c>
      <c r="D43" s="2" t="s">
        <v>17</v>
      </c>
      <c r="E43" s="2">
        <v>2</v>
      </c>
      <c r="F43" s="2">
        <v>767</v>
      </c>
    </row>
    <row r="44" spans="1:6" x14ac:dyDescent="0.3">
      <c r="A44" s="2" t="s">
        <v>107</v>
      </c>
      <c r="B44" s="2" t="s">
        <v>108</v>
      </c>
      <c r="C44" s="2" t="s">
        <v>23</v>
      </c>
      <c r="D44" s="2" t="s">
        <v>13</v>
      </c>
      <c r="E44" s="2">
        <v>5</v>
      </c>
      <c r="F44" s="2">
        <v>2530</v>
      </c>
    </row>
    <row r="45" spans="1:6" x14ac:dyDescent="0.3">
      <c r="A45" s="2" t="s">
        <v>109</v>
      </c>
      <c r="B45" s="2" t="s">
        <v>110</v>
      </c>
      <c r="C45" s="2" t="s">
        <v>111</v>
      </c>
      <c r="D45" s="2" t="s">
        <v>20</v>
      </c>
      <c r="E45" s="2">
        <v>4</v>
      </c>
      <c r="F45" s="2">
        <v>446</v>
      </c>
    </row>
    <row r="46" spans="1:6" x14ac:dyDescent="0.3">
      <c r="A46" s="2" t="s">
        <v>112</v>
      </c>
      <c r="B46" s="2" t="s">
        <v>113</v>
      </c>
      <c r="C46" s="2" t="s">
        <v>12</v>
      </c>
      <c r="D46" s="2" t="s">
        <v>9</v>
      </c>
      <c r="E46" s="2">
        <v>1</v>
      </c>
      <c r="F46" s="2">
        <v>750</v>
      </c>
    </row>
    <row r="47" spans="1:6" x14ac:dyDescent="0.3">
      <c r="A47" s="2" t="s">
        <v>114</v>
      </c>
      <c r="B47" s="2" t="s">
        <v>115</v>
      </c>
      <c r="C47" s="2" t="s">
        <v>46</v>
      </c>
      <c r="D47" s="2" t="s">
        <v>17</v>
      </c>
      <c r="E47" s="2">
        <v>5</v>
      </c>
      <c r="F47" s="2">
        <v>2014</v>
      </c>
    </row>
    <row r="48" spans="1:6" x14ac:dyDescent="0.3">
      <c r="A48" s="2" t="s">
        <v>116</v>
      </c>
      <c r="B48" s="2" t="s">
        <v>117</v>
      </c>
      <c r="C48" s="2" t="s">
        <v>82</v>
      </c>
      <c r="D48" s="2" t="s">
        <v>13</v>
      </c>
      <c r="E48" s="2">
        <v>3</v>
      </c>
      <c r="F48" s="2">
        <v>1547</v>
      </c>
    </row>
    <row r="49" spans="1:6" x14ac:dyDescent="0.3">
      <c r="A49" s="2" t="s">
        <v>118</v>
      </c>
      <c r="B49" s="2" t="s">
        <v>119</v>
      </c>
      <c r="C49" s="2" t="s">
        <v>67</v>
      </c>
      <c r="D49" s="2" t="s">
        <v>17</v>
      </c>
      <c r="E49" s="2">
        <v>4</v>
      </c>
      <c r="F49" s="2">
        <v>1576</v>
      </c>
    </row>
    <row r="50" spans="1:6" x14ac:dyDescent="0.3">
      <c r="A50" s="2" t="s">
        <v>120</v>
      </c>
      <c r="B50" s="2" t="s">
        <v>121</v>
      </c>
      <c r="C50" s="2" t="s">
        <v>12</v>
      </c>
      <c r="D50" s="2" t="s">
        <v>9</v>
      </c>
      <c r="E50" s="2">
        <v>3</v>
      </c>
      <c r="F50" s="2">
        <v>2370</v>
      </c>
    </row>
    <row r="51" spans="1:6" x14ac:dyDescent="0.3">
      <c r="A51" s="2" t="s">
        <v>122</v>
      </c>
      <c r="B51" s="2" t="s">
        <v>123</v>
      </c>
      <c r="C51" s="2" t="s">
        <v>8</v>
      </c>
      <c r="D51" s="2" t="s">
        <v>17</v>
      </c>
      <c r="E51" s="2">
        <v>5</v>
      </c>
      <c r="F51" s="2">
        <v>2004</v>
      </c>
    </row>
    <row r="52" spans="1:6" x14ac:dyDescent="0.3">
      <c r="A52" s="2" t="s">
        <v>124</v>
      </c>
      <c r="B52" s="2" t="s">
        <v>69</v>
      </c>
      <c r="C52" s="2" t="s">
        <v>26</v>
      </c>
      <c r="D52" s="2" t="s">
        <v>20</v>
      </c>
      <c r="E52" s="2">
        <v>4</v>
      </c>
      <c r="F52" s="2">
        <v>399</v>
      </c>
    </row>
    <row r="53" spans="1:6" x14ac:dyDescent="0.3">
      <c r="A53" s="2" t="s">
        <v>125</v>
      </c>
      <c r="B53" s="2" t="s">
        <v>126</v>
      </c>
      <c r="C53" s="2" t="s">
        <v>26</v>
      </c>
      <c r="D53" s="2" t="s">
        <v>20</v>
      </c>
      <c r="E53" s="2">
        <v>4</v>
      </c>
      <c r="F53" s="2">
        <v>429</v>
      </c>
    </row>
    <row r="54" spans="1:6" x14ac:dyDescent="0.3">
      <c r="A54" s="2" t="s">
        <v>127</v>
      </c>
      <c r="B54" s="2" t="s">
        <v>128</v>
      </c>
      <c r="C54" s="2" t="s">
        <v>8</v>
      </c>
      <c r="D54" s="2" t="s">
        <v>20</v>
      </c>
      <c r="E54" s="2">
        <v>5</v>
      </c>
      <c r="F54" s="2">
        <v>464</v>
      </c>
    </row>
    <row r="55" spans="1:6" x14ac:dyDescent="0.3">
      <c r="A55" s="2" t="s">
        <v>129</v>
      </c>
      <c r="B55" s="2" t="s">
        <v>66</v>
      </c>
      <c r="C55" s="2" t="s">
        <v>12</v>
      </c>
      <c r="D55" s="2" t="s">
        <v>13</v>
      </c>
      <c r="E55" s="2">
        <v>1</v>
      </c>
      <c r="F55" s="2">
        <v>471</v>
      </c>
    </row>
    <row r="56" spans="1:6" x14ac:dyDescent="0.3">
      <c r="A56" s="2" t="s">
        <v>130</v>
      </c>
      <c r="B56" s="2" t="s">
        <v>131</v>
      </c>
      <c r="C56" s="2" t="s">
        <v>74</v>
      </c>
      <c r="D56" s="2" t="s">
        <v>9</v>
      </c>
      <c r="E56" s="2">
        <v>4</v>
      </c>
      <c r="F56" s="2">
        <v>3240</v>
      </c>
    </row>
    <row r="57" spans="1:6" x14ac:dyDescent="0.3">
      <c r="A57" s="2" t="s">
        <v>132</v>
      </c>
      <c r="B57" s="2" t="s">
        <v>117</v>
      </c>
      <c r="C57" s="2" t="s">
        <v>133</v>
      </c>
      <c r="D57" s="2" t="s">
        <v>13</v>
      </c>
      <c r="E57" s="2">
        <v>1</v>
      </c>
      <c r="F57" s="2">
        <v>520</v>
      </c>
    </row>
    <row r="58" spans="1:6" x14ac:dyDescent="0.3">
      <c r="A58" s="2" t="s">
        <v>134</v>
      </c>
      <c r="B58" s="2" t="s">
        <v>53</v>
      </c>
      <c r="C58" s="2" t="s">
        <v>12</v>
      </c>
      <c r="D58" s="2" t="s">
        <v>20</v>
      </c>
      <c r="E58" s="2">
        <v>2</v>
      </c>
      <c r="F58" s="2">
        <v>233</v>
      </c>
    </row>
    <row r="59" spans="1:6" x14ac:dyDescent="0.3">
      <c r="A59" s="2" t="s">
        <v>135</v>
      </c>
      <c r="B59" s="2" t="s">
        <v>136</v>
      </c>
      <c r="C59" s="2" t="s">
        <v>12</v>
      </c>
      <c r="D59" s="2" t="s">
        <v>13</v>
      </c>
      <c r="E59" s="2">
        <v>4</v>
      </c>
      <c r="F59" s="2">
        <v>2048</v>
      </c>
    </row>
    <row r="60" spans="1:6" x14ac:dyDescent="0.3">
      <c r="A60" s="2" t="s">
        <v>137</v>
      </c>
      <c r="B60" s="2" t="s">
        <v>138</v>
      </c>
      <c r="C60" s="2" t="s">
        <v>67</v>
      </c>
      <c r="D60" s="2" t="s">
        <v>9</v>
      </c>
      <c r="E60" s="2">
        <v>2</v>
      </c>
      <c r="F60" s="2">
        <v>1598</v>
      </c>
    </row>
    <row r="61" spans="1:6" x14ac:dyDescent="0.3">
      <c r="A61" s="2" t="s">
        <v>139</v>
      </c>
      <c r="B61" s="2" t="s">
        <v>140</v>
      </c>
      <c r="C61" s="2" t="s">
        <v>31</v>
      </c>
      <c r="D61" s="2" t="s">
        <v>9</v>
      </c>
      <c r="E61" s="2">
        <v>5</v>
      </c>
      <c r="F61" s="2">
        <v>3989</v>
      </c>
    </row>
    <row r="62" spans="1:6" x14ac:dyDescent="0.3">
      <c r="A62" s="2" t="s">
        <v>141</v>
      </c>
      <c r="B62" s="2" t="s">
        <v>86</v>
      </c>
      <c r="C62" s="2" t="s">
        <v>8</v>
      </c>
      <c r="D62" s="2" t="s">
        <v>13</v>
      </c>
      <c r="E62" s="2">
        <v>3</v>
      </c>
      <c r="F62" s="2">
        <v>1514</v>
      </c>
    </row>
    <row r="63" spans="1:6" x14ac:dyDescent="0.3">
      <c r="A63" s="2" t="s">
        <v>142</v>
      </c>
      <c r="B63" s="2" t="s">
        <v>143</v>
      </c>
      <c r="C63" s="2" t="s">
        <v>31</v>
      </c>
      <c r="D63" s="2" t="s">
        <v>9</v>
      </c>
      <c r="E63" s="2">
        <v>1</v>
      </c>
      <c r="F63" s="2">
        <v>795</v>
      </c>
    </row>
    <row r="64" spans="1:6" x14ac:dyDescent="0.3">
      <c r="A64" s="2" t="s">
        <v>144</v>
      </c>
      <c r="B64" s="2" t="s">
        <v>113</v>
      </c>
      <c r="C64" s="2" t="s">
        <v>31</v>
      </c>
      <c r="D64" s="2" t="s">
        <v>9</v>
      </c>
      <c r="E64" s="2">
        <v>5</v>
      </c>
      <c r="F64" s="2">
        <v>4039</v>
      </c>
    </row>
    <row r="65" spans="1:6" x14ac:dyDescent="0.3">
      <c r="A65" s="2" t="s">
        <v>145</v>
      </c>
      <c r="B65" s="2" t="s">
        <v>115</v>
      </c>
      <c r="C65" s="2" t="s">
        <v>133</v>
      </c>
      <c r="D65" s="2" t="s">
        <v>9</v>
      </c>
      <c r="E65" s="2">
        <v>1</v>
      </c>
      <c r="F65" s="2">
        <v>831</v>
      </c>
    </row>
    <row r="66" spans="1:6" x14ac:dyDescent="0.3">
      <c r="A66" s="2" t="s">
        <v>146</v>
      </c>
      <c r="B66" s="2" t="s">
        <v>110</v>
      </c>
      <c r="C66" s="2" t="s">
        <v>94</v>
      </c>
      <c r="D66" s="2" t="s">
        <v>17</v>
      </c>
      <c r="E66" s="2">
        <v>3</v>
      </c>
      <c r="F66" s="2">
        <v>1194</v>
      </c>
    </row>
    <row r="67" spans="1:6" x14ac:dyDescent="0.3">
      <c r="A67" s="2" t="s">
        <v>147</v>
      </c>
      <c r="B67" s="2" t="s">
        <v>148</v>
      </c>
      <c r="C67" s="2" t="s">
        <v>51</v>
      </c>
      <c r="D67" s="2" t="s">
        <v>9</v>
      </c>
      <c r="E67" s="2">
        <v>5</v>
      </c>
      <c r="F67" s="2">
        <v>3954</v>
      </c>
    </row>
    <row r="68" spans="1:6" x14ac:dyDescent="0.3">
      <c r="A68" s="2" t="s">
        <v>149</v>
      </c>
      <c r="B68" s="2" t="s">
        <v>150</v>
      </c>
      <c r="C68" s="2" t="s">
        <v>82</v>
      </c>
      <c r="D68" s="2" t="s">
        <v>13</v>
      </c>
      <c r="E68" s="2">
        <v>4</v>
      </c>
      <c r="F68" s="2">
        <v>1994</v>
      </c>
    </row>
    <row r="69" spans="1:6" x14ac:dyDescent="0.3">
      <c r="A69" s="2" t="s">
        <v>151</v>
      </c>
      <c r="B69" s="2" t="s">
        <v>152</v>
      </c>
      <c r="C69" s="2" t="s">
        <v>153</v>
      </c>
      <c r="D69" s="2" t="s">
        <v>17</v>
      </c>
      <c r="E69" s="2">
        <v>2</v>
      </c>
      <c r="F69" s="2">
        <v>814</v>
      </c>
    </row>
    <row r="70" spans="1:6" x14ac:dyDescent="0.3">
      <c r="A70" s="2" t="s">
        <v>154</v>
      </c>
      <c r="B70" s="2" t="s">
        <v>35</v>
      </c>
      <c r="C70" s="2" t="s">
        <v>8</v>
      </c>
      <c r="D70" s="2" t="s">
        <v>17</v>
      </c>
      <c r="E70" s="2">
        <v>1</v>
      </c>
      <c r="F70" s="2">
        <v>415</v>
      </c>
    </row>
    <row r="71" spans="1:6" x14ac:dyDescent="0.3">
      <c r="A71" s="2" t="s">
        <v>155</v>
      </c>
      <c r="B71" s="2" t="s">
        <v>28</v>
      </c>
      <c r="C71" s="2" t="s">
        <v>67</v>
      </c>
      <c r="D71" s="2" t="s">
        <v>9</v>
      </c>
      <c r="E71" s="2">
        <v>2</v>
      </c>
      <c r="F71" s="2">
        <v>1648</v>
      </c>
    </row>
    <row r="72" spans="1:6" x14ac:dyDescent="0.3">
      <c r="A72" s="2" t="s">
        <v>156</v>
      </c>
      <c r="B72" s="2" t="s">
        <v>157</v>
      </c>
      <c r="C72" s="2" t="s">
        <v>23</v>
      </c>
      <c r="D72" s="2" t="s">
        <v>13</v>
      </c>
      <c r="E72" s="2">
        <v>4</v>
      </c>
      <c r="F72" s="2">
        <v>2033</v>
      </c>
    </row>
    <row r="73" spans="1:6" x14ac:dyDescent="0.3">
      <c r="A73" s="2" t="s">
        <v>158</v>
      </c>
      <c r="B73" s="2" t="s">
        <v>11</v>
      </c>
      <c r="C73" s="2" t="s">
        <v>12</v>
      </c>
      <c r="D73" s="2" t="s">
        <v>17</v>
      </c>
      <c r="E73" s="2">
        <v>1</v>
      </c>
      <c r="F73" s="2">
        <v>423</v>
      </c>
    </row>
    <row r="74" spans="1:6" x14ac:dyDescent="0.3">
      <c r="A74" s="2" t="s">
        <v>159</v>
      </c>
      <c r="B74" s="2" t="s">
        <v>160</v>
      </c>
      <c r="C74" s="2" t="s">
        <v>46</v>
      </c>
      <c r="D74" s="2" t="s">
        <v>17</v>
      </c>
      <c r="E74" s="2">
        <v>2</v>
      </c>
      <c r="F74" s="2">
        <v>768</v>
      </c>
    </row>
    <row r="75" spans="1:6" x14ac:dyDescent="0.3">
      <c r="A75" s="2" t="s">
        <v>161</v>
      </c>
      <c r="B75" s="2" t="s">
        <v>15</v>
      </c>
      <c r="C75" s="2" t="s">
        <v>74</v>
      </c>
      <c r="D75" s="2" t="s">
        <v>9</v>
      </c>
      <c r="E75" s="2">
        <v>5</v>
      </c>
      <c r="F75" s="2">
        <v>4032</v>
      </c>
    </row>
    <row r="76" spans="1:6" x14ac:dyDescent="0.3">
      <c r="A76" s="2" t="s">
        <v>162</v>
      </c>
      <c r="B76" s="2" t="s">
        <v>163</v>
      </c>
      <c r="C76" s="2" t="s">
        <v>133</v>
      </c>
      <c r="D76" s="2" t="s">
        <v>9</v>
      </c>
      <c r="E76" s="2">
        <v>3</v>
      </c>
      <c r="F76" s="2">
        <v>2400</v>
      </c>
    </row>
    <row r="77" spans="1:6" x14ac:dyDescent="0.3">
      <c r="A77" s="2" t="s">
        <v>164</v>
      </c>
      <c r="B77" s="2" t="s">
        <v>165</v>
      </c>
      <c r="C77" s="2" t="s">
        <v>166</v>
      </c>
      <c r="D77" s="2" t="s">
        <v>9</v>
      </c>
      <c r="E77" s="2">
        <v>5</v>
      </c>
      <c r="F77" s="2">
        <v>3988</v>
      </c>
    </row>
    <row r="78" spans="1:6" x14ac:dyDescent="0.3">
      <c r="A78" s="2" t="s">
        <v>167</v>
      </c>
      <c r="B78" s="2" t="s">
        <v>168</v>
      </c>
      <c r="C78" s="2" t="s">
        <v>82</v>
      </c>
      <c r="D78" s="2" t="s">
        <v>13</v>
      </c>
      <c r="E78" s="2">
        <v>5</v>
      </c>
      <c r="F78" s="2">
        <v>2491</v>
      </c>
    </row>
    <row r="79" spans="1:6" x14ac:dyDescent="0.3">
      <c r="A79" s="2" t="s">
        <v>169</v>
      </c>
      <c r="B79" s="2" t="s">
        <v>170</v>
      </c>
      <c r="C79" s="2" t="s">
        <v>46</v>
      </c>
      <c r="D79" s="2" t="s">
        <v>13</v>
      </c>
      <c r="E79" s="2">
        <v>4</v>
      </c>
      <c r="F79" s="2">
        <v>1995</v>
      </c>
    </row>
    <row r="80" spans="1:6" x14ac:dyDescent="0.3">
      <c r="A80" s="2" t="s">
        <v>171</v>
      </c>
      <c r="B80" s="2" t="s">
        <v>22</v>
      </c>
      <c r="C80" s="2" t="s">
        <v>172</v>
      </c>
      <c r="D80" s="2" t="s">
        <v>17</v>
      </c>
      <c r="E80" s="2">
        <v>3</v>
      </c>
      <c r="F80" s="2">
        <v>1222</v>
      </c>
    </row>
    <row r="81" spans="1:6" x14ac:dyDescent="0.3">
      <c r="A81" s="2" t="s">
        <v>173</v>
      </c>
      <c r="B81" s="2" t="s">
        <v>174</v>
      </c>
      <c r="C81" s="2" t="s">
        <v>166</v>
      </c>
      <c r="D81" s="2" t="s">
        <v>17</v>
      </c>
      <c r="E81" s="2">
        <v>4</v>
      </c>
      <c r="F81" s="2">
        <v>1582</v>
      </c>
    </row>
    <row r="82" spans="1:6" x14ac:dyDescent="0.3">
      <c r="A82" s="2" t="s">
        <v>175</v>
      </c>
      <c r="B82" s="2" t="s">
        <v>176</v>
      </c>
      <c r="C82" s="2" t="s">
        <v>16</v>
      </c>
      <c r="D82" s="2" t="s">
        <v>9</v>
      </c>
      <c r="E82" s="2">
        <v>1</v>
      </c>
      <c r="F82" s="2">
        <v>770</v>
      </c>
    </row>
    <row r="83" spans="1:6" x14ac:dyDescent="0.3">
      <c r="A83" s="2" t="s">
        <v>177</v>
      </c>
      <c r="B83" s="2" t="s">
        <v>178</v>
      </c>
      <c r="C83" s="2" t="s">
        <v>82</v>
      </c>
      <c r="D83" s="2" t="s">
        <v>17</v>
      </c>
      <c r="E83" s="2">
        <v>1</v>
      </c>
      <c r="F83" s="2">
        <v>407</v>
      </c>
    </row>
    <row r="84" spans="1:6" x14ac:dyDescent="0.3">
      <c r="A84" s="2" t="s">
        <v>179</v>
      </c>
      <c r="B84" s="2" t="s">
        <v>69</v>
      </c>
      <c r="C84" s="2" t="s">
        <v>51</v>
      </c>
      <c r="D84" s="2" t="s">
        <v>13</v>
      </c>
      <c r="E84" s="2">
        <v>4</v>
      </c>
      <c r="F84" s="2">
        <v>2038</v>
      </c>
    </row>
    <row r="85" spans="1:6" x14ac:dyDescent="0.3">
      <c r="A85" s="2" t="s">
        <v>180</v>
      </c>
      <c r="B85" s="2" t="s">
        <v>181</v>
      </c>
      <c r="C85" s="2" t="s">
        <v>31</v>
      </c>
      <c r="D85" s="2" t="s">
        <v>9</v>
      </c>
      <c r="E85" s="2">
        <v>5</v>
      </c>
      <c r="F85" s="2">
        <v>4013</v>
      </c>
    </row>
    <row r="86" spans="1:6" x14ac:dyDescent="0.3">
      <c r="A86" s="2" t="s">
        <v>182</v>
      </c>
      <c r="B86" s="2" t="s">
        <v>183</v>
      </c>
      <c r="C86" s="2" t="s">
        <v>16</v>
      </c>
      <c r="D86" s="2" t="s">
        <v>13</v>
      </c>
      <c r="E86" s="2">
        <v>1</v>
      </c>
      <c r="F86" s="2">
        <v>519</v>
      </c>
    </row>
    <row r="87" spans="1:6" x14ac:dyDescent="0.3">
      <c r="A87" s="2" t="s">
        <v>184</v>
      </c>
      <c r="B87" s="2" t="s">
        <v>185</v>
      </c>
      <c r="C87" s="2" t="s">
        <v>153</v>
      </c>
      <c r="D87" s="2" t="s">
        <v>17</v>
      </c>
      <c r="E87" s="2">
        <v>5</v>
      </c>
      <c r="F87" s="2">
        <v>2003</v>
      </c>
    </row>
    <row r="88" spans="1:6" x14ac:dyDescent="0.3">
      <c r="A88" s="2" t="s">
        <v>186</v>
      </c>
      <c r="B88" s="2" t="s">
        <v>30</v>
      </c>
      <c r="C88" s="2" t="s">
        <v>67</v>
      </c>
      <c r="D88" s="2" t="s">
        <v>17</v>
      </c>
      <c r="E88" s="2">
        <v>5</v>
      </c>
      <c r="F88" s="2">
        <v>1997</v>
      </c>
    </row>
    <row r="89" spans="1:6" x14ac:dyDescent="0.3">
      <c r="A89" s="2" t="s">
        <v>187</v>
      </c>
      <c r="B89" s="2" t="s">
        <v>188</v>
      </c>
      <c r="C89" s="2" t="s">
        <v>26</v>
      </c>
      <c r="D89" s="2" t="s">
        <v>9</v>
      </c>
      <c r="E89" s="2">
        <v>2</v>
      </c>
      <c r="F89" s="2">
        <v>1603</v>
      </c>
    </row>
    <row r="90" spans="1:6" x14ac:dyDescent="0.3">
      <c r="A90" s="2" t="s">
        <v>189</v>
      </c>
      <c r="B90" s="2" t="s">
        <v>190</v>
      </c>
      <c r="C90" s="2" t="s">
        <v>38</v>
      </c>
      <c r="D90" s="2" t="s">
        <v>9</v>
      </c>
      <c r="E90" s="2">
        <v>2</v>
      </c>
      <c r="F90" s="2">
        <v>1626</v>
      </c>
    </row>
    <row r="91" spans="1:6" x14ac:dyDescent="0.3">
      <c r="A91" s="2" t="s">
        <v>191</v>
      </c>
      <c r="B91" s="2" t="s">
        <v>192</v>
      </c>
      <c r="C91" s="2" t="s">
        <v>74</v>
      </c>
      <c r="D91" s="2" t="s">
        <v>17</v>
      </c>
      <c r="E91" s="2">
        <v>1</v>
      </c>
      <c r="F91" s="2">
        <v>426</v>
      </c>
    </row>
    <row r="92" spans="1:6" x14ac:dyDescent="0.3">
      <c r="A92" s="2" t="s">
        <v>193</v>
      </c>
      <c r="B92" s="2" t="s">
        <v>194</v>
      </c>
      <c r="C92" s="2" t="s">
        <v>166</v>
      </c>
      <c r="D92" s="2" t="s">
        <v>9</v>
      </c>
      <c r="E92" s="2">
        <v>1</v>
      </c>
      <c r="F92" s="2">
        <v>796</v>
      </c>
    </row>
    <row r="93" spans="1:6" x14ac:dyDescent="0.3">
      <c r="A93" s="2" t="s">
        <v>195</v>
      </c>
      <c r="B93" s="2" t="s">
        <v>76</v>
      </c>
      <c r="C93" s="2" t="s">
        <v>87</v>
      </c>
      <c r="D93" s="2" t="s">
        <v>17</v>
      </c>
      <c r="E93" s="2">
        <v>1</v>
      </c>
      <c r="F93" s="2">
        <v>407</v>
      </c>
    </row>
    <row r="94" spans="1:6" x14ac:dyDescent="0.3">
      <c r="A94" s="2" t="s">
        <v>196</v>
      </c>
      <c r="B94" s="2" t="s">
        <v>163</v>
      </c>
      <c r="C94" s="2" t="s">
        <v>51</v>
      </c>
      <c r="D94" s="2" t="s">
        <v>9</v>
      </c>
      <c r="E94" s="2">
        <v>5</v>
      </c>
      <c r="F94" s="2">
        <v>3988</v>
      </c>
    </row>
    <row r="95" spans="1:6" x14ac:dyDescent="0.3">
      <c r="A95" s="2" t="s">
        <v>197</v>
      </c>
      <c r="B95" s="2" t="s">
        <v>198</v>
      </c>
      <c r="C95" s="2" t="s">
        <v>12</v>
      </c>
      <c r="D95" s="2" t="s">
        <v>17</v>
      </c>
      <c r="E95" s="2">
        <v>4</v>
      </c>
      <c r="F95" s="2">
        <v>1648</v>
      </c>
    </row>
    <row r="96" spans="1:6" x14ac:dyDescent="0.3">
      <c r="A96" s="2" t="s">
        <v>199</v>
      </c>
      <c r="B96" s="2" t="s">
        <v>200</v>
      </c>
      <c r="C96" s="2" t="s">
        <v>38</v>
      </c>
      <c r="D96" s="2" t="s">
        <v>13</v>
      </c>
      <c r="E96" s="2">
        <v>2</v>
      </c>
      <c r="F96" s="2">
        <v>1023</v>
      </c>
    </row>
    <row r="97" spans="1:6" x14ac:dyDescent="0.3">
      <c r="A97" s="2" t="s">
        <v>201</v>
      </c>
      <c r="B97" s="2" t="s">
        <v>73</v>
      </c>
      <c r="C97" s="2" t="s">
        <v>74</v>
      </c>
      <c r="D97" s="2" t="s">
        <v>13</v>
      </c>
      <c r="E97" s="2">
        <v>1</v>
      </c>
      <c r="F97" s="2">
        <v>537</v>
      </c>
    </row>
    <row r="98" spans="1:6" x14ac:dyDescent="0.3">
      <c r="A98" s="2" t="s">
        <v>202</v>
      </c>
      <c r="B98" s="2" t="s">
        <v>128</v>
      </c>
      <c r="C98" s="2" t="s">
        <v>133</v>
      </c>
      <c r="D98" s="2" t="s">
        <v>9</v>
      </c>
      <c r="E98" s="2">
        <v>2</v>
      </c>
      <c r="F98" s="2">
        <v>1610</v>
      </c>
    </row>
    <row r="99" spans="1:6" x14ac:dyDescent="0.3">
      <c r="A99" s="2" t="s">
        <v>203</v>
      </c>
      <c r="B99" s="2" t="s">
        <v>204</v>
      </c>
      <c r="C99" s="2" t="s">
        <v>16</v>
      </c>
      <c r="D99" s="2" t="s">
        <v>13</v>
      </c>
      <c r="E99" s="2">
        <v>3</v>
      </c>
      <c r="F99" s="2">
        <v>1451</v>
      </c>
    </row>
    <row r="100" spans="1:6" x14ac:dyDescent="0.3">
      <c r="A100" s="2" t="s">
        <v>205</v>
      </c>
      <c r="B100" s="2" t="s">
        <v>78</v>
      </c>
      <c r="C100" s="2" t="s">
        <v>82</v>
      </c>
      <c r="D100" s="2" t="s">
        <v>17</v>
      </c>
      <c r="E100" s="2">
        <v>5</v>
      </c>
      <c r="F100" s="2">
        <v>2045</v>
      </c>
    </row>
    <row r="101" spans="1:6" x14ac:dyDescent="0.3">
      <c r="A101" s="2" t="s">
        <v>206</v>
      </c>
      <c r="B101" s="2" t="s">
        <v>207</v>
      </c>
      <c r="C101" s="2" t="s">
        <v>87</v>
      </c>
      <c r="D101" s="2" t="s">
        <v>13</v>
      </c>
      <c r="E101" s="2">
        <v>5</v>
      </c>
      <c r="F101" s="2">
        <v>2479</v>
      </c>
    </row>
    <row r="102" spans="1:6" x14ac:dyDescent="0.3">
      <c r="A102" s="2" t="s">
        <v>208</v>
      </c>
      <c r="B102" s="2" t="s">
        <v>64</v>
      </c>
      <c r="C102" s="2" t="s">
        <v>133</v>
      </c>
      <c r="D102" s="2" t="s">
        <v>17</v>
      </c>
      <c r="E102" s="2">
        <v>5</v>
      </c>
      <c r="F102" s="2">
        <v>1952</v>
      </c>
    </row>
    <row r="103" spans="1:6" x14ac:dyDescent="0.3">
      <c r="A103" s="2" t="s">
        <v>209</v>
      </c>
      <c r="B103" s="2" t="s">
        <v>117</v>
      </c>
      <c r="C103" s="2" t="s">
        <v>26</v>
      </c>
      <c r="D103" s="2" t="s">
        <v>20</v>
      </c>
      <c r="E103" s="2">
        <v>1</v>
      </c>
      <c r="F103" s="2">
        <v>149</v>
      </c>
    </row>
    <row r="104" spans="1:6" x14ac:dyDescent="0.3">
      <c r="A104" s="2" t="s">
        <v>210</v>
      </c>
      <c r="B104" s="2" t="s">
        <v>106</v>
      </c>
      <c r="C104" s="2" t="s">
        <v>153</v>
      </c>
      <c r="D104" s="2" t="s">
        <v>9</v>
      </c>
      <c r="E104" s="2">
        <v>4</v>
      </c>
      <c r="F104" s="2">
        <v>3179</v>
      </c>
    </row>
    <row r="105" spans="1:6" x14ac:dyDescent="0.3">
      <c r="A105" s="2" t="s">
        <v>211</v>
      </c>
      <c r="B105" s="2" t="s">
        <v>212</v>
      </c>
      <c r="C105" s="2" t="s">
        <v>166</v>
      </c>
      <c r="D105" s="2" t="s">
        <v>13</v>
      </c>
      <c r="E105" s="2">
        <v>5</v>
      </c>
      <c r="F105" s="2">
        <v>2490</v>
      </c>
    </row>
    <row r="106" spans="1:6" x14ac:dyDescent="0.3">
      <c r="A106" s="2" t="s">
        <v>213</v>
      </c>
      <c r="B106" s="2" t="s">
        <v>89</v>
      </c>
      <c r="C106" s="2" t="s">
        <v>51</v>
      </c>
      <c r="D106" s="2" t="s">
        <v>20</v>
      </c>
      <c r="E106" s="2">
        <v>4</v>
      </c>
      <c r="F106" s="2">
        <v>365</v>
      </c>
    </row>
    <row r="107" spans="1:6" x14ac:dyDescent="0.3">
      <c r="A107" s="2" t="s">
        <v>214</v>
      </c>
      <c r="B107" s="2" t="s">
        <v>215</v>
      </c>
      <c r="C107" s="2" t="s">
        <v>43</v>
      </c>
      <c r="D107" s="2" t="s">
        <v>13</v>
      </c>
      <c r="E107" s="2">
        <v>5</v>
      </c>
      <c r="F107" s="2">
        <v>2547</v>
      </c>
    </row>
    <row r="108" spans="1:6" x14ac:dyDescent="0.3">
      <c r="A108" s="2" t="s">
        <v>216</v>
      </c>
      <c r="B108" s="2" t="s">
        <v>190</v>
      </c>
      <c r="C108" s="2" t="s">
        <v>38</v>
      </c>
      <c r="D108" s="2" t="s">
        <v>13</v>
      </c>
      <c r="E108" s="2">
        <v>5</v>
      </c>
      <c r="F108" s="2">
        <v>2477</v>
      </c>
    </row>
    <row r="109" spans="1:6" x14ac:dyDescent="0.3">
      <c r="A109" s="2" t="s">
        <v>217</v>
      </c>
      <c r="B109" s="2" t="s">
        <v>7</v>
      </c>
      <c r="C109" s="2" t="s">
        <v>46</v>
      </c>
      <c r="D109" s="2" t="s">
        <v>13</v>
      </c>
      <c r="E109" s="2">
        <v>2</v>
      </c>
      <c r="F109" s="2">
        <v>996</v>
      </c>
    </row>
    <row r="110" spans="1:6" x14ac:dyDescent="0.3">
      <c r="A110" s="2" t="s">
        <v>218</v>
      </c>
      <c r="B110" s="2" t="s">
        <v>96</v>
      </c>
      <c r="C110" s="2" t="s">
        <v>94</v>
      </c>
      <c r="D110" s="2" t="s">
        <v>13</v>
      </c>
      <c r="E110" s="2">
        <v>5</v>
      </c>
      <c r="F110" s="2">
        <v>2468</v>
      </c>
    </row>
    <row r="111" spans="1:6" x14ac:dyDescent="0.3">
      <c r="A111" s="2" t="s">
        <v>219</v>
      </c>
      <c r="B111" s="2" t="s">
        <v>220</v>
      </c>
      <c r="C111" s="2" t="s">
        <v>43</v>
      </c>
      <c r="D111" s="2" t="s">
        <v>20</v>
      </c>
      <c r="E111" s="2">
        <v>5</v>
      </c>
      <c r="F111" s="2">
        <v>521</v>
      </c>
    </row>
    <row r="112" spans="1:6" x14ac:dyDescent="0.3">
      <c r="A112" s="2" t="s">
        <v>221</v>
      </c>
      <c r="B112" s="2" t="s">
        <v>198</v>
      </c>
      <c r="C112" s="2" t="s">
        <v>43</v>
      </c>
      <c r="D112" s="2" t="s">
        <v>20</v>
      </c>
      <c r="E112" s="2">
        <v>4</v>
      </c>
      <c r="F112" s="2">
        <v>357</v>
      </c>
    </row>
    <row r="113" spans="1:6" x14ac:dyDescent="0.3">
      <c r="A113" s="2" t="s">
        <v>222</v>
      </c>
      <c r="B113" s="2" t="s">
        <v>25</v>
      </c>
      <c r="C113" s="2" t="s">
        <v>172</v>
      </c>
      <c r="D113" s="2" t="s">
        <v>20</v>
      </c>
      <c r="E113" s="2">
        <v>4</v>
      </c>
      <c r="F113" s="2">
        <v>423</v>
      </c>
    </row>
    <row r="114" spans="1:6" x14ac:dyDescent="0.3">
      <c r="A114" s="2" t="s">
        <v>223</v>
      </c>
      <c r="B114" s="2" t="s">
        <v>98</v>
      </c>
      <c r="C114" s="2" t="s">
        <v>133</v>
      </c>
      <c r="D114" s="2" t="s">
        <v>20</v>
      </c>
      <c r="E114" s="2">
        <v>1</v>
      </c>
      <c r="F114" s="2">
        <v>132</v>
      </c>
    </row>
    <row r="115" spans="1:6" x14ac:dyDescent="0.3">
      <c r="A115" s="2" t="s">
        <v>224</v>
      </c>
      <c r="B115" s="2" t="s">
        <v>225</v>
      </c>
      <c r="C115" s="2" t="s">
        <v>26</v>
      </c>
      <c r="D115" s="2" t="s">
        <v>20</v>
      </c>
      <c r="E115" s="2">
        <v>1</v>
      </c>
      <c r="F115" s="2">
        <v>150</v>
      </c>
    </row>
    <row r="116" spans="1:6" x14ac:dyDescent="0.3">
      <c r="A116" s="2" t="s">
        <v>226</v>
      </c>
      <c r="B116" s="2" t="s">
        <v>152</v>
      </c>
      <c r="C116" s="2" t="s">
        <v>23</v>
      </c>
      <c r="D116" s="2" t="s">
        <v>13</v>
      </c>
      <c r="E116" s="2">
        <v>2</v>
      </c>
      <c r="F116" s="2">
        <v>1049</v>
      </c>
    </row>
    <row r="117" spans="1:6" x14ac:dyDescent="0.3">
      <c r="A117" s="2" t="s">
        <v>227</v>
      </c>
      <c r="B117" s="2" t="s">
        <v>176</v>
      </c>
      <c r="C117" s="2" t="s">
        <v>172</v>
      </c>
      <c r="D117" s="2" t="s">
        <v>20</v>
      </c>
      <c r="E117" s="2">
        <v>4</v>
      </c>
      <c r="F117" s="2">
        <v>415</v>
      </c>
    </row>
    <row r="118" spans="1:6" x14ac:dyDescent="0.3">
      <c r="A118" s="2" t="s">
        <v>228</v>
      </c>
      <c r="B118" s="2" t="s">
        <v>215</v>
      </c>
      <c r="C118" s="2" t="s">
        <v>67</v>
      </c>
      <c r="D118" s="2" t="s">
        <v>13</v>
      </c>
      <c r="E118" s="2">
        <v>3</v>
      </c>
      <c r="F118" s="2">
        <v>1545</v>
      </c>
    </row>
    <row r="119" spans="1:6" x14ac:dyDescent="0.3">
      <c r="A119" s="2" t="s">
        <v>229</v>
      </c>
      <c r="B119" s="2" t="s">
        <v>230</v>
      </c>
      <c r="C119" s="2" t="s">
        <v>166</v>
      </c>
      <c r="D119" s="2" t="s">
        <v>20</v>
      </c>
      <c r="E119" s="2">
        <v>4</v>
      </c>
      <c r="F119" s="2">
        <v>364</v>
      </c>
    </row>
    <row r="120" spans="1:6" x14ac:dyDescent="0.3">
      <c r="A120" s="2" t="s">
        <v>231</v>
      </c>
      <c r="B120" s="2" t="s">
        <v>232</v>
      </c>
      <c r="C120" s="2" t="s">
        <v>94</v>
      </c>
      <c r="D120" s="2" t="s">
        <v>9</v>
      </c>
      <c r="E120" s="2">
        <v>1</v>
      </c>
      <c r="F120" s="2">
        <v>754</v>
      </c>
    </row>
    <row r="121" spans="1:6" x14ac:dyDescent="0.3">
      <c r="A121" s="2" t="s">
        <v>233</v>
      </c>
      <c r="B121" s="2" t="s">
        <v>234</v>
      </c>
      <c r="C121" s="2" t="s">
        <v>133</v>
      </c>
      <c r="D121" s="2" t="s">
        <v>9</v>
      </c>
      <c r="E121" s="2">
        <v>2</v>
      </c>
      <c r="F121" s="2">
        <v>1560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17" sqref="A17"/>
    </sheetView>
  </sheetViews>
  <sheetFormatPr defaultRowHeight="14.4" x14ac:dyDescent="0.3"/>
  <cols>
    <col min="1" max="1" width="16.6640625" bestFit="1" customWidth="1"/>
    <col min="2" max="2" width="9" bestFit="1" customWidth="1"/>
  </cols>
  <sheetData>
    <row r="1" spans="1:2" x14ac:dyDescent="0.3">
      <c r="A1" s="4" t="s">
        <v>247</v>
      </c>
      <c r="B1" s="4"/>
    </row>
    <row r="2" spans="1:2" x14ac:dyDescent="0.3">
      <c r="A2" t="s">
        <v>235</v>
      </c>
      <c r="B2" t="s">
        <v>236</v>
      </c>
    </row>
    <row r="3" spans="1:2" x14ac:dyDescent="0.3">
      <c r="A3" t="s">
        <v>237</v>
      </c>
      <c r="B3">
        <f>SUM(orders!F2:F121)</f>
        <v>181017</v>
      </c>
    </row>
    <row r="4" spans="1:2" x14ac:dyDescent="0.3">
      <c r="A4" t="s">
        <v>238</v>
      </c>
      <c r="B4">
        <f>COUNTA(orders!A2:A121)</f>
        <v>120</v>
      </c>
    </row>
    <row r="5" spans="1:2" x14ac:dyDescent="0.3">
      <c r="A5" t="s">
        <v>239</v>
      </c>
      <c r="B5">
        <f>AVERAGE(orders!F2:F121)</f>
        <v>1508.4749999999999</v>
      </c>
    </row>
    <row r="6" spans="1:2" x14ac:dyDescent="0.3">
      <c r="A6" t="s">
        <v>240</v>
      </c>
      <c r="B6">
        <f>SUM(orders!E2:E121)</f>
        <v>376</v>
      </c>
    </row>
    <row r="8" spans="1:2" x14ac:dyDescent="0.3">
      <c r="A8" s="4" t="s">
        <v>246</v>
      </c>
      <c r="B8" s="4"/>
    </row>
    <row r="9" spans="1:2" x14ac:dyDescent="0.3">
      <c r="A9" t="s">
        <v>241</v>
      </c>
      <c r="B9">
        <f>SUMIF(orders!D2:D121,"Laptop",orders!F2:F121)</f>
        <v>82404</v>
      </c>
    </row>
    <row r="10" spans="1:2" x14ac:dyDescent="0.3">
      <c r="A10" t="s">
        <v>242</v>
      </c>
      <c r="B10">
        <f>SUMIF(orders!D2:D121,"Mobile",orders!F2:F121)</f>
        <v>35071</v>
      </c>
    </row>
    <row r="11" spans="1:2" x14ac:dyDescent="0.3">
      <c r="A11" t="s">
        <v>243</v>
      </c>
      <c r="B11">
        <f>SUMIF(orders!D2:D121,"Tablet",orders!F2:F121)</f>
        <v>55850</v>
      </c>
    </row>
    <row r="12" spans="1:2" x14ac:dyDescent="0.3">
      <c r="A12" t="s">
        <v>244</v>
      </c>
      <c r="B12">
        <f>MAX(orders!F2:F121)</f>
        <v>4039</v>
      </c>
    </row>
    <row r="13" spans="1:2" x14ac:dyDescent="0.3">
      <c r="A13" t="s">
        <v>245</v>
      </c>
      <c r="B13">
        <f>MIN(orders!F2:F121)</f>
        <v>95</v>
      </c>
    </row>
    <row r="15" spans="1:2" x14ac:dyDescent="0.3">
      <c r="A15" s="3" t="s">
        <v>248</v>
      </c>
      <c r="B15" s="3"/>
    </row>
    <row r="16" spans="1:2" x14ac:dyDescent="0.3">
      <c r="A16" t="s">
        <v>249</v>
      </c>
      <c r="B16">
        <f>SUM(orders!E2:E121)</f>
        <v>376</v>
      </c>
    </row>
    <row r="17" spans="1:2" x14ac:dyDescent="0.3">
      <c r="A17" t="s">
        <v>250</v>
      </c>
      <c r="B17">
        <f>AVERAGE(orders!E2:E121)</f>
        <v>3.1333333333333333</v>
      </c>
    </row>
  </sheetData>
  <mergeCells count="3">
    <mergeCell ref="A8:B8"/>
    <mergeCell ref="A1:B1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Faisal Sheikh</cp:lastModifiedBy>
  <dcterms:created xsi:type="dcterms:W3CDTF">2026-03-09T18:21:51Z</dcterms:created>
  <dcterms:modified xsi:type="dcterms:W3CDTF">2026-03-09T18:35:36Z</dcterms:modified>
</cp:coreProperties>
</file>