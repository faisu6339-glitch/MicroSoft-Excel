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1772" windowHeight="96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9" i="1"/>
  <c r="I8" i="1"/>
  <c r="H10" i="1"/>
  <c r="H8" i="1"/>
  <c r="H9" i="1"/>
  <c r="H3" i="1"/>
  <c r="H4" i="1"/>
</calcChain>
</file>

<file path=xl/sharedStrings.xml><?xml version="1.0" encoding="utf-8"?>
<sst xmlns="http://schemas.openxmlformats.org/spreadsheetml/2006/main" count="42" uniqueCount="14">
  <si>
    <t>Date</t>
  </si>
  <si>
    <t>Transaction Type</t>
  </si>
  <si>
    <t>Debit/Credit</t>
  </si>
  <si>
    <t>Amount</t>
  </si>
  <si>
    <t>Credit</t>
  </si>
  <si>
    <t>Debit</t>
  </si>
  <si>
    <t>Total Debit Amount</t>
  </si>
  <si>
    <t>Total Credit Amount</t>
  </si>
  <si>
    <t>SUMIF</t>
  </si>
  <si>
    <t xml:space="preserve">Total </t>
  </si>
  <si>
    <t>Online</t>
  </si>
  <si>
    <t>Cash</t>
  </si>
  <si>
    <t>Debit Card</t>
  </si>
  <si>
    <t>SUMIFS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</si>
</sst>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F8" sqref="F8"/>
    </sheetView>
  </sheetViews>
  <sheetFormatPr defaultRowHeight="14.4" x14ac:dyDescent="0.3"/>
  <cols>
    <col min="1" max="1" width="10.33203125" bestFit="1" customWidth="1"/>
    <col min="2" max="2" width="15.109375" customWidth="1"/>
    <col min="3" max="3" width="20" customWidth="1"/>
    <col min="4" max="4" width="8.88671875" customWidth="1"/>
    <col min="7" max="7" width="17" bestFit="1" customWidth="1"/>
  </cols>
  <sheetData>
    <row r="1" spans="1:9" ht="31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9" ht="15.6" x14ac:dyDescent="0.3">
      <c r="A2" s="2">
        <v>46023</v>
      </c>
      <c r="B2" s="3" t="s">
        <v>10</v>
      </c>
      <c r="C2" s="3" t="s">
        <v>4</v>
      </c>
      <c r="D2" s="3">
        <v>30000</v>
      </c>
      <c r="G2" s="4" t="s">
        <v>8</v>
      </c>
      <c r="H2" s="4"/>
      <c r="I2" s="5"/>
    </row>
    <row r="3" spans="1:9" x14ac:dyDescent="0.3">
      <c r="A3" s="2">
        <v>46024</v>
      </c>
      <c r="B3" s="3" t="s">
        <v>11</v>
      </c>
      <c r="C3" s="3" t="s">
        <v>5</v>
      </c>
      <c r="D3" s="3">
        <v>500</v>
      </c>
      <c r="G3" s="5" t="s">
        <v>6</v>
      </c>
      <c r="H3" s="5">
        <f>SUMIF(C2:C15,"Debit",D2:D15)</f>
        <v>19700</v>
      </c>
      <c r="I3" s="5"/>
    </row>
    <row r="4" spans="1:9" x14ac:dyDescent="0.3">
      <c r="A4" s="2">
        <v>46025</v>
      </c>
      <c r="B4" s="3" t="s">
        <v>11</v>
      </c>
      <c r="C4" s="3" t="s">
        <v>5</v>
      </c>
      <c r="D4" s="3">
        <v>800</v>
      </c>
      <c r="G4" s="5" t="s">
        <v>7</v>
      </c>
      <c r="H4" s="5">
        <f>SUMIF(C2:C15,"Credit",D2:D15)</f>
        <v>73000</v>
      </c>
      <c r="I4" s="5"/>
    </row>
    <row r="5" spans="1:9" x14ac:dyDescent="0.3">
      <c r="A5" s="2">
        <v>46027</v>
      </c>
      <c r="B5" s="3" t="s">
        <v>10</v>
      </c>
      <c r="C5" s="3" t="s">
        <v>5</v>
      </c>
      <c r="D5" s="3">
        <v>1500</v>
      </c>
      <c r="G5" s="5"/>
      <c r="H5" s="5"/>
      <c r="I5" s="5"/>
    </row>
    <row r="6" spans="1:9" ht="15.6" x14ac:dyDescent="0.3">
      <c r="A6" s="2">
        <v>46029</v>
      </c>
      <c r="B6" s="3" t="s">
        <v>11</v>
      </c>
      <c r="C6" s="3" t="s">
        <v>5</v>
      </c>
      <c r="D6" s="3">
        <v>10000</v>
      </c>
      <c r="G6" s="4" t="s">
        <v>13</v>
      </c>
      <c r="H6" s="4"/>
      <c r="I6" s="4"/>
    </row>
    <row r="7" spans="1:9" x14ac:dyDescent="0.3">
      <c r="A7" s="2">
        <v>46032</v>
      </c>
      <c r="B7" s="3" t="s">
        <v>12</v>
      </c>
      <c r="C7" s="3" t="s">
        <v>5</v>
      </c>
      <c r="D7" s="3">
        <v>1200</v>
      </c>
      <c r="G7" s="5" t="s">
        <v>9</v>
      </c>
      <c r="H7" s="5" t="s">
        <v>5</v>
      </c>
      <c r="I7" s="5" t="s">
        <v>4</v>
      </c>
    </row>
    <row r="8" spans="1:9" x14ac:dyDescent="0.3">
      <c r="A8" s="2">
        <v>46034</v>
      </c>
      <c r="B8" s="3" t="s">
        <v>11</v>
      </c>
      <c r="C8" s="3" t="s">
        <v>4</v>
      </c>
      <c r="D8" s="3">
        <v>8000</v>
      </c>
      <c r="G8" s="5" t="s">
        <v>10</v>
      </c>
      <c r="H8" s="5">
        <f>SUMIFS($D$2:$D$15,$B$2:$B$15,$G$8,$C$2:$C$15,$H$7)</f>
        <v>3700</v>
      </c>
      <c r="I8" s="5">
        <f>SUMIFS($D$2:$D$15,$B$2:$B$15,G$8,$C$2:$C$15,I$7)</f>
        <v>30000</v>
      </c>
    </row>
    <row r="9" spans="1:9" x14ac:dyDescent="0.3">
      <c r="A9" s="2">
        <v>46037</v>
      </c>
      <c r="B9" s="3" t="s">
        <v>10</v>
      </c>
      <c r="C9" s="3" t="s">
        <v>5</v>
      </c>
      <c r="D9" s="3">
        <v>600</v>
      </c>
      <c r="G9" s="5" t="s">
        <v>11</v>
      </c>
      <c r="H9" s="5">
        <f>SUMIFS($D$2:$D$15,$B$2:$B$15,G$9,$C$2:$C$15,H$7)</f>
        <v>12800</v>
      </c>
      <c r="I9" s="5">
        <f>SUMIFS($D$2:$D$15,$B$2:$B$15,G$9,$C$2:$C$15,I$7)</f>
        <v>13000</v>
      </c>
    </row>
    <row r="10" spans="1:9" x14ac:dyDescent="0.3">
      <c r="A10" s="2">
        <v>46040</v>
      </c>
      <c r="B10" s="3" t="s">
        <v>10</v>
      </c>
      <c r="C10" s="3" t="s">
        <v>5</v>
      </c>
      <c r="D10" s="3">
        <v>900</v>
      </c>
      <c r="G10" s="5" t="s">
        <v>12</v>
      </c>
      <c r="H10" s="5">
        <f>SUMIFS($D$2:$D$15,$B$2:$B$15,$G10,$C$2:$C$15,H$7)</f>
        <v>3200</v>
      </c>
      <c r="I10" s="5">
        <f>SUMIFS($D$2:$D$15,$B$2:$B$15,G$10,$C$2:$C$15,I$7)</f>
        <v>30000</v>
      </c>
    </row>
    <row r="11" spans="1:9" x14ac:dyDescent="0.3">
      <c r="A11" s="2">
        <v>46042</v>
      </c>
      <c r="B11" s="3" t="s">
        <v>11</v>
      </c>
      <c r="C11" s="3" t="s">
        <v>4</v>
      </c>
      <c r="D11" s="3">
        <v>5000</v>
      </c>
    </row>
    <row r="12" spans="1:9" ht="28.8" x14ac:dyDescent="0.3">
      <c r="A12" s="2">
        <v>46044</v>
      </c>
      <c r="B12" s="3" t="s">
        <v>12</v>
      </c>
      <c r="C12" s="3" t="s">
        <v>5</v>
      </c>
      <c r="D12" s="3">
        <v>2000</v>
      </c>
    </row>
    <row r="13" spans="1:9" x14ac:dyDescent="0.3">
      <c r="A13" s="2">
        <v>46047</v>
      </c>
      <c r="B13" s="3" t="s">
        <v>11</v>
      </c>
      <c r="C13" s="3" t="s">
        <v>5</v>
      </c>
      <c r="D13" s="3">
        <v>1500</v>
      </c>
    </row>
    <row r="14" spans="1:9" x14ac:dyDescent="0.3">
      <c r="A14" s="2">
        <v>46050</v>
      </c>
      <c r="B14" s="3" t="s">
        <v>10</v>
      </c>
      <c r="C14" s="3" t="s">
        <v>5</v>
      </c>
      <c r="D14" s="3">
        <v>700</v>
      </c>
    </row>
    <row r="15" spans="1:9" ht="28.8" x14ac:dyDescent="0.3">
      <c r="A15" s="2">
        <v>46052</v>
      </c>
      <c r="B15" s="3" t="s">
        <v>12</v>
      </c>
      <c r="C15" s="3" t="s">
        <v>4</v>
      </c>
      <c r="D15" s="3">
        <v>30000</v>
      </c>
    </row>
  </sheetData>
  <mergeCells count="2">
    <mergeCell ref="G2:H2"/>
    <mergeCell ref="G6:I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2026-02-22T18:32:13Z</dcterms:created>
  <dcterms:modified xsi:type="dcterms:W3CDTF">2026-02-22T19:04:12Z</dcterms:modified>
</cp:coreProperties>
</file>